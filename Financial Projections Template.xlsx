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2.xml" ContentType="application/vnd.openxmlformats-officedocument.spreadsheetml.comments+xml"/>
  <Override PartName="/xl/drawings/drawing2.xml" ContentType="application/vnd.openxmlformats-officedocument.drawing+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5.xml" ContentType="application/vnd.openxmlformats-officedocument.spreadsheetml.comments+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comments7.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10.xml" ContentType="application/vnd.openxmlformats-officedocument.spreadsheetml.comments+xml"/>
  <Override PartName="/xl/worksheets/sheet11.xml" ContentType="application/vnd.openxmlformats-officedocument.spreadsheetml.worksheet+xml"/>
  <Override PartName="/xl/comments11.xml" ContentType="application/vnd.openxmlformats-officedocument.spreadsheetml.comments+xml"/>
  <Override PartName="/xl/drawings/drawing5.xml" ContentType="application/vnd.openxmlformats-officedocument.drawing+xml"/>
  <Override PartName="/xl/worksheets/sheet12.xml" ContentType="application/vnd.openxmlformats-officedocument.spreadsheetml.worksheet+xml"/>
  <Override PartName="/xl/comments12.xml" ContentType="application/vnd.openxmlformats-officedocument.spreadsheetml.comments+xml"/>
  <Override PartName="/xl/worksheets/sheet13.xml" ContentType="application/vnd.openxmlformats-officedocument.spreadsheetml.worksheet+xml"/>
  <Override PartName="/xl/comments13.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drawings/drawing6.xml" ContentType="application/vnd.openxmlformats-officedocument.drawing+xml"/>
  <Override PartName="/xl/worksheets/sheet16.xml" ContentType="application/vnd.openxmlformats-officedocument.spreadsheetml.worksheet+xml"/>
  <Override PartName="/xl/comments16.xml" ContentType="application/vnd.openxmlformats-officedocument.spreadsheetml.comments+xml"/>
  <Override PartName="/xl/drawings/drawing7.xml" ContentType="application/vnd.openxmlformats-officedocument.drawing+xml"/>
  <Override PartName="/xl/worksheets/sheet17.xml" ContentType="application/vnd.openxmlformats-officedocument.spreadsheetml.worksheet+xml"/>
  <Override PartName="/xl/drawings/drawing8.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firstSheet="2" activeTab="4" tabRatio="801"/>
  </bookViews>
  <sheets>
    <sheet r:id="rId1" name="Directions" sheetId="1"/>
    <sheet r:id="rId2" name="1-StartingPoint" sheetId="2"/>
    <sheet r:id="rId3" name="2a-PayrollYear1" sheetId="3"/>
    <sheet r:id="rId4" name="2b-PayrollYrs1-3" sheetId="4"/>
    <sheet r:id="rId5" name="3a-SalesForecastYear1" sheetId="5"/>
    <sheet r:id="rId6" name="3b-SalesForecastYrs1-3" sheetId="6"/>
    <sheet r:id="rId7" name="4-AdditionalInputs" sheetId="7"/>
    <sheet r:id="rId8" name="5a-OpExYear1" sheetId="8"/>
    <sheet r:id="rId9" name="5b-OpExYrs1-3" sheetId="9"/>
    <sheet r:id="rId10" name="6a-CashFlowYear1" sheetId="10"/>
    <sheet r:id="rId11" name="6b-CashFlowYrs1-3" sheetId="11"/>
    <sheet r:id="rId12" name="7a-IncomeStatementYear1" sheetId="12"/>
    <sheet r:id="rId13" name="7b-IncomeStatementYrs1-3" sheetId="13"/>
    <sheet r:id="rId14" name="8-BalanceSheet" sheetId="14"/>
    <sheet r:id="rId15" name="BreakevenAnalysis" sheetId="15"/>
    <sheet r:id="rId16" name="FinancialRatios" sheetId="16"/>
    <sheet r:id="rId17" name="DiagnosticTools" sheetId="17"/>
    <sheet r:id="rId18" name="COGS Calculator" sheetId="18"/>
    <sheet r:id="rId19" name="Amortization&amp;Depreciation" sheetId="19"/>
  </sheets>
  <definedNames>
    <definedName name="AddLoans" isReadOnly="false">'1-StartingPoint'!$D$36</definedName>
    <definedName name="Advertising" isReadOnly="false">'1-StartingPoint'!$C$26</definedName>
    <definedName name="Annual_Interest_Rate" isReadOnly="false">#REF!</definedName>
    <definedName name="Beg_Bal" isReadOnly="false">#REF!</definedName>
    <definedName name="Buildings" isReadOnly="false">'1-StartingPoint'!$C$10</definedName>
    <definedName name="Category1" isReadOnly="false">'3a-SalesForecastYear1'!$B$9</definedName>
    <definedName name="Category1_Annual_Sales" isReadOnly="false">'3a-SalesForecastYear1'!$O$19</definedName>
    <definedName name="Category1_SalesPrice" isReadOnly="false">'3a-SalesForecastYear1'!#REF!</definedName>
    <definedName name="Category2" isReadOnly="false">'3a-SalesForecastYear1'!$B$10</definedName>
    <definedName name="Category2_Annual_Sales" isReadOnly="false">'3a-SalesForecastYear1'!$O$25</definedName>
    <definedName name="Category2_SalesPrice" isReadOnly="false">'3a-SalesForecastYear1'!#REF!</definedName>
    <definedName name="Category3" isReadOnly="false">'3a-SalesForecastYear1'!$B$11</definedName>
    <definedName name="Category3_Annual_Sales" isReadOnly="false">'3a-SalesForecastYear1'!$O$31</definedName>
    <definedName name="Category3_SalesPrice" isReadOnly="false">'3a-SalesForecastYear1'!#REF!</definedName>
    <definedName name="Category4" isReadOnly="false">'3a-SalesForecastYear1'!$B$12</definedName>
    <definedName name="Category4_Annual_Sales" isReadOnly="false">'3a-SalesForecastYear1'!$O$37</definedName>
    <definedName name="Category4_SalesPrice" isReadOnly="false">'3a-SalesForecastYear1'!#REF!</definedName>
    <definedName name="Category5" isReadOnly="false">'3a-SalesForecastYear1'!$B$13</definedName>
    <definedName name="Category5_Annual_Sales" isReadOnly="false">'3a-SalesForecastYear1'!$O$43</definedName>
    <definedName name="Category5_SalesPrice" isReadOnly="false">'3a-SalesForecastYear1'!#REF!</definedName>
    <definedName name="Category6" isReadOnly="false">'3a-SalesForecastYear1'!$B$14</definedName>
    <definedName name="Category6_Annual_Sales" isReadOnly="false">'3a-SalesForecastYear1'!$O$49</definedName>
    <definedName name="Category6_SalesPrice" isReadOnly="false">'3a-SalesForecastYear1'!#REF!</definedName>
    <definedName name="Catergory6" isReadOnly="false">'3a-SalesForecastYear1'!$B$14</definedName>
    <definedName name="CCDebt" isReadOnly="false">'1-StartingPoint'!$D$39</definedName>
    <definedName name="COGS_Annual_Total" isReadOnly="false">'3a-SalesForecastYear1'!$O$54</definedName>
    <definedName name="CommLoan" isReadOnly="false">'1-StartingPoint'!$D$37</definedName>
    <definedName name="CommMortgage" isReadOnly="false">'1-StartingPoint'!$D$38</definedName>
    <definedName name="ContingencyCash" isReadOnly="false">'1-StartingPoint'!#REF!</definedName>
    <definedName name="Equipment" isReadOnly="false">'1-StartingPoint'!$C$12</definedName>
    <definedName name="Extra_Pay" isReadOnly="false">#REF!</definedName>
    <definedName name="Furniture" isReadOnly="false">'1-StartingPoint'!$C$13</definedName>
    <definedName name="Growth_Rate_Yr2" isReadOnly="false">'3b-SalesForecastYrs1-3'!$C$7</definedName>
    <definedName name="Growth_Rate_Yr3" isReadOnly="false">'3b-SalesForecastYrs1-3'!$C$8</definedName>
    <definedName name="Info_Entered" isReadOnly="false">#REF!</definedName>
    <definedName name="Int" isReadOnly="false">#REF!</definedName>
    <definedName name="InterestRate_ShortTerm" isReadOnly="false">#REF!</definedName>
    <definedName name="Inventory" isReadOnly="false">'1-StartingPoint'!$C$21</definedName>
    <definedName name="Land" isReadOnly="false">'1-StartingPoint'!$C$9</definedName>
    <definedName name="Last_Row" isReadOnly="false">IF(Values_Entered,Header_Row+Number_of_Payments,Header_Row)</definedName>
    <definedName name="LeaseImprovements" isReadOnly="false">'1-StartingPoint'!$C$11</definedName>
    <definedName name="LegalAcctFees" isReadOnly="false">'1-StartingPoint'!$C$22</definedName>
    <definedName name="Licenses" isReadOnly="false">'1-StartingPoint'!$C$27</definedName>
    <definedName name="Loan_Amount" isReadOnly="false">#REF!</definedName>
    <definedName name="Loan_Term_Years" isReadOnly="false">#REF!</definedName>
    <definedName name="LoanAmount_ShortTerm" isReadOnly="false">#REF!</definedName>
    <definedName name="LoanTermYears_ShortTerm" isReadOnly="false">#REF!</definedName>
    <definedName name="Margin_Annual_Total" isReadOnly="false">'3a-SalesForecastYear1'!$O$55</definedName>
    <definedName name="Misc_Expenses" isReadOnly="false">'5a-OpExYear1'!$O$19</definedName>
    <definedName name="Monthly_Payment_LongTerm" isReadOnly="false">#REF!</definedName>
    <definedName name="NetIncomeY1" isReadOnly="false">'7b-IncomeStatementYrs1-3'!$C$59</definedName>
    <definedName name="NetIncomeY2" isReadOnly="false">'7b-IncomeStatementYrs1-3'!$E$59</definedName>
    <definedName name="NetIncomeY3" isReadOnly="false">'7b-IncomeStatementYrs1-3'!$G$59</definedName>
    <definedName name="Number_of_Payments" isReadOnly="false">MATCH(0.01,End_Bal,-1)+1</definedName>
    <definedName name="OfficeSupplies_Expenses" isReadOnly="false">'5a-OpExYear1'!$O$20</definedName>
    <definedName name="Other_Expenses" isReadOnly="false">'5a-OpExYear1'!$O$21</definedName>
    <definedName name="OtherBankDebt" isReadOnly="false">'1-StartingPoint'!$D$41</definedName>
    <definedName name="OtherFixedAssets" isReadOnly="false">'1-StartingPoint'!$C$15</definedName>
    <definedName name="OtherStartUp" isReadOnly="false">'1-StartingPoint'!$C$28</definedName>
    <definedName name="OutsideInvest" isReadOnly="false">'1-StartingPoint'!$D$35</definedName>
    <definedName name="OwnerEquity" isReadOnly="false">'1-StartingPoint'!$D$34</definedName>
    <definedName name="Pay_Num" isReadOnly="false">#REF!</definedName>
    <definedName name="Payments_per_Year" isReadOnly="false">#REF!</definedName>
    <definedName name="PreOpenWages" isReadOnly="false">'1-StartingPoint'!$C$19</definedName>
    <definedName name="PrepaidInsurance" isReadOnly="false">'1-StartingPoint'!$C$20</definedName>
    <definedName name="PricePerUnit_Annual_Total" isReadOnly="false">'3a-SalesForecastYear1'!#REF!</definedName>
    <definedName name="Princ" isReadOnly="false">#REF!</definedName>
    <definedName name="Projected_Yr2_COGS" isReadOnly="false">'3b-SalesForecastYrs1-3'!#REF!</definedName>
    <definedName name="RentDeposit" isReadOnly="false">'1-StartingPoint'!$C$23</definedName>
    <definedName name="Sales_Annual_Total" isReadOnly="false">'3a-SalesForecastYear1'!$O$53</definedName>
    <definedName name="SalesForecast_yr1" isReadOnly="false">'3b-SalesForecastYrs1-3'!#REF!</definedName>
    <definedName name="SalesForecast_yr2" isReadOnly="false">'3b-SalesForecastYrs1-3'!#REF!</definedName>
    <definedName name="SalesForecast_yr3" isReadOnly="false">'3b-SalesForecastYrs1-3'!#REF!</definedName>
    <definedName name="Sched_Pay" isReadOnly="false">#REF!</definedName>
    <definedName name="Scheduled_Extra_Payments" isReadOnly="false">#REF!</definedName>
    <definedName name="Scheduled_Monthly_Payment" isReadOnly="false">#REF!</definedName>
    <definedName name="Supplies" isReadOnly="false">'1-StartingPoint'!$C$25</definedName>
    <definedName name="Total_Amount_Paid" isReadOnly="false">#REF!</definedName>
    <definedName name="Total_Fixed_Assets" isReadOnly="false">'1-StartingPoint'!$C$8:$C$15</definedName>
    <definedName name="Total_Interest_Paid" isReadOnly="false">#REF!</definedName>
    <definedName name="Total_Pay" isReadOnly="false">#REF!</definedName>
    <definedName name="Total_Payments_LongTerm" isReadOnly="false">#REF!</definedName>
    <definedName name="TotalFixedAssets" isReadOnly="false">'1-StartingPoint'!$C$16</definedName>
    <definedName name="TotalFunding" isReadOnly="false">'1-StartingPoint'!$D$42</definedName>
    <definedName name="TotalOperatingCapital" isReadOnly="false">'1-StartingPoint'!$C$30</definedName>
    <definedName name="TotalRequiredFunds" isReadOnly="false">'1-StartingPoint'!$C$31</definedName>
    <definedName name="Unit1" isReadOnly="false">'3a-SalesForecastYear1'!$C$9</definedName>
    <definedName name="Unit1_Annual" isReadOnly="false">'3a-SalesForecastYear1'!$O$18</definedName>
    <definedName name="Unit1_Annual_Sales" isReadOnly="false">'3a-SalesForecastYear1'!$O$19</definedName>
    <definedName name="Unit2" isReadOnly="false">'3a-SalesForecastYear1'!$C$10</definedName>
    <definedName name="Unit2_Annual" isReadOnly="false">'3a-SalesForecastYear1'!$O$24</definedName>
    <definedName name="Unit2_Annual_Sales" isReadOnly="false">'3a-SalesForecastYear1'!$O$25</definedName>
    <definedName name="Unit3" isReadOnly="false">'3a-SalesForecastYear1'!$C$11</definedName>
    <definedName name="Unit3_Annual" isReadOnly="false">'3a-SalesForecastYear1'!$O$30</definedName>
    <definedName name="Unit3_Annual_Sales" isReadOnly="false">'3a-SalesForecastYear1'!$O$31</definedName>
    <definedName name="Unit4" isReadOnly="false">'3a-SalesForecastYear1'!$C$12</definedName>
    <definedName name="Unit4_Annual" isReadOnly="false">'3a-SalesForecastYear1'!$O$36</definedName>
    <definedName name="Unit5" isReadOnly="false">'3a-SalesForecastYear1'!$C$13</definedName>
    <definedName name="Unit5_Annual" isReadOnly="false">'3a-SalesForecastYear1'!$O$42</definedName>
    <definedName name="Unit6" isReadOnly="false">'3a-SalesForecastYear1'!$C$14</definedName>
    <definedName name="Unit6_Annual" isReadOnly="false">'3a-SalesForecastYear1'!$O$48</definedName>
    <definedName name="Units_Annual_Total" isReadOnly="false">'3a-SalesForecastYear1'!$O$52</definedName>
    <definedName name="UtilityDeposit" isReadOnly="false">'1-StartingPoint'!$C$24</definedName>
    <definedName name="Values_Entered" isReadOnly="false">IF(Loan_Amount*Interest_Rate*Loan_Years*Loan_Start&gt;0,1,0)</definedName>
    <definedName name="VehicleLoan" isReadOnly="false">'1-StartingPoint'!$D$40</definedName>
    <definedName name="Vehicles" isReadOnly="false">'1-StartingPoint'!$C$14</definedName>
    <definedName name="Working_Capital" isReadOnly="false">'1-StartingPoint'!$C$29</definedName>
    <definedName name="WorkingCapital" isReadOnly="false">'1-StartingPoint'!$C$28</definedName>
    <definedName name="Y1EndingCashBal" isReadOnly="false">'6a-CashFlowYear1'!$N$33</definedName>
    <definedName name="YearlyPayments_ShortTerm" isReadOnly="false">#REF!</definedName>
    <definedName name="_xlnm.Print_Area" localSheetId="0" isReadOnly="false">Directions!$A$6:$H$44</definedName>
    <definedName name="_xlnm.Print_Area" localSheetId="1" isReadOnly="false">'1-StartingPoint'!$B$4:$H$52</definedName>
    <definedName name="_xlnm.Print_Area" localSheetId="2" isReadOnly="false">'2a-PayrollYear1'!$A$4:$R$25</definedName>
    <definedName name="_xlnm.Print_Area" localSheetId="3" isReadOnly="false">'2b-PayrollYrs1-3'!$B$4:$G$26</definedName>
    <definedName name="Hours" localSheetId="4" isReadOnly="false">'3a-SalesForecastYear1'!$C$9:$C$14</definedName>
    <definedName name="_xlnm.Print_Area" localSheetId="4" isReadOnly="false">'3a-SalesForecastYear1'!$B$4:$Q$55</definedName>
    <definedName name="_xlnm.Print_Area" localSheetId="5" isReadOnly="false">'3b-SalesForecastYrs1-3'!$A$4:$AF$49</definedName>
    <definedName name="_xlnm.Print_Titles" localSheetId="5">'3b-SalesForecastYrs1-3'!$A:$A</definedName>
    <definedName name="_xlnm.Print_Area" localSheetId="6" isReadOnly="false">'4-AdditionalInputs'!$B$4:$R$44</definedName>
    <definedName name="_xlnm.Print_Area" localSheetId="7" isReadOnly="false">'5a-OpExYear1'!$B$4:$O$38</definedName>
    <definedName name="_xlnm.Print_Area" localSheetId="8" isReadOnly="false">'5b-OpExYrs1-3'!$B$4:$G$36</definedName>
    <definedName name="_xlnm.Print_Area" localSheetId="9" isReadOnly="false">'6a-CashFlowYear1'!$B$4:$O$34</definedName>
    <definedName name="_xlnm.Print_Area" localSheetId="10" isReadOnly="false">'6b-CashFlowYrs1-3'!$A$3:$AB$33</definedName>
    <definedName name="_xlnm.Print_Titles" localSheetId="10">'6b-CashFlowYrs1-3'!$A:$A</definedName>
    <definedName name="_xlnm.Print_Area" localSheetId="11" isReadOnly="false">'7a-IncomeStatementYear1'!$B$4:$O$60</definedName>
    <definedName name="_xlnm.Print_Area" localSheetId="12" isReadOnly="false">'7b-IncomeStatementYrs1-3'!$B$4:$H$59</definedName>
    <definedName name="_xlnm.Print_Area" localSheetId="13" isReadOnly="false">'8-BalanceSheet'!$C$4:$F$46</definedName>
    <definedName name="_xlnm.Print_Area" localSheetId="14" isReadOnly="false">BreakevenAnalysis!$B$4:$C$20</definedName>
    <definedName name="_xlnm.Print_Area" localSheetId="15" isReadOnly="false">FinancialRatios!$B$4:$G$28</definedName>
    <definedName name="Annual_Interest_Rate" localSheetId="16" isReadOnly="false">#REF!</definedName>
    <definedName name="Beg_Bal" localSheetId="16" isReadOnly="false">#REF!</definedName>
    <definedName name="Extra_Pay" localSheetId="16" isReadOnly="false">#REF!</definedName>
    <definedName name="Info_Entered" localSheetId="16" isReadOnly="false">#REF!</definedName>
    <definedName name="Int" localSheetId="16" isReadOnly="false">#REF!</definedName>
    <definedName name="InterestRate_ShortTerm" localSheetId="16" isReadOnly="false">#REF!</definedName>
    <definedName name="Last_Row" localSheetId="16" isReadOnly="false">IF(DiagnosticTools!Values_Entered,Header_Row+DiagnosticTools!Number_of_Payments,Header_Row)</definedName>
    <definedName name="Loan_Amount" localSheetId="16" isReadOnly="false">#REF!</definedName>
    <definedName name="Loan_Term_Years" localSheetId="16" isReadOnly="false">#REF!</definedName>
    <definedName name="LoanAmount_ShortTerm" localSheetId="16" isReadOnly="false">#REF!</definedName>
    <definedName name="LoanTermYears_ShortTerm" localSheetId="16" isReadOnly="false">#REF!</definedName>
    <definedName name="Monthly_Payment_LongTerm" localSheetId="16" isReadOnly="false">#REF!</definedName>
    <definedName name="Number_of_Payments" localSheetId="16" isReadOnly="false">MATCH(0.01,End_Bal,-1)+1</definedName>
    <definedName name="Pay_Num" localSheetId="16" isReadOnly="false">#REF!</definedName>
    <definedName name="Payments_per_Year" localSheetId="16" isReadOnly="false">#REF!</definedName>
    <definedName name="Princ" localSheetId="16" isReadOnly="false">#REF!</definedName>
    <definedName name="Sched_Pay" localSheetId="16" isReadOnly="false">#REF!</definedName>
    <definedName name="Scheduled_Extra_Payments" localSheetId="16" isReadOnly="false">#REF!</definedName>
    <definedName name="Scheduled_Monthly_Payment" localSheetId="16" isReadOnly="false">#REF!</definedName>
    <definedName name="Total_Amount_Paid" localSheetId="16" isReadOnly="false">#REF!</definedName>
    <definedName name="Total_Interest_Paid" localSheetId="16" isReadOnly="false">#REF!</definedName>
    <definedName name="Total_Pay" localSheetId="16" isReadOnly="false">#REF!</definedName>
    <definedName name="Total_Payments_LongTerm" localSheetId="16" isReadOnly="false">#REF!</definedName>
    <definedName name="Values_Entered" localSheetId="16" isReadOnly="false">IF(DiagnosticTools!Loan_Amount*Interest_Rate*Loan_Years*Loan_Start&gt;0,1,0)</definedName>
    <definedName name="YearlyPayments_ShortTerm" localSheetId="16" isReadOnly="false">#REF!</definedName>
    <definedName name="_xlnm.Print_Area" localSheetId="16" isReadOnly="false">DiagnosticTools!$B$4:$D$36</definedName>
    <definedName name="_xlnm.Print_Area" localSheetId="17" isReadOnly="false">'COGS Calculator'!$B$4:$C$26</definedName>
    <definedName name="_xlnm.Print_Area" localSheetId="18" isReadOnly="false">'Amortization&amp;Depreciation'!$B$4:$O$156</definedName>
  </definedNames>
  <calcPr calcId="0" iterateCount="100" iterateDelta="0.001"/>
</workbook>
</file>

<file path=xl/comments2.xml><?xml version="1.0" encoding="utf-8"?>
<comments xmlns="http://schemas.openxmlformats.org/spreadsheetml/2006/main" xmlns:mc="http://schemas.openxmlformats.org/markup-compatibility/2006" xmlns:xr="http://schemas.microsoft.com/office/spreadsheetml/2014/revision" mc:Ignorable="xr">
  <authors>
    <author>Heather Hendy</author>
  </authors>
  <commentList>
    <comment ref="D7" authorId="0">
      <text>
        <r>
          <rPr>
            <sz val="9"/>
            <color rgb="FF000000"/>
            <rFont val="Arial"/>
            <family val="2"/>
          </rPr>
          <t xml:space="preserve">Years of depreciation must be 3 or more for the calculations in this workbook to work correctly. </t>
        </r>
      </text>
    </comment>
    <comment ref="B29" authorId="0">
      <text>
        <r>
          <rPr>
            <sz val="9"/>
            <color rgb="FF000000"/>
            <rFont val="Arial"/>
            <family val="2"/>
          </rPr>
          <t xml:space="preserve">Existing businesses should use the calculator at the bottom of this page to determine the Working Capital amount. Calculate the number, then enter it here.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Heather Hendy</author>
    <author>Joseph Clarke</author>
    <author>SCOREUSER</author>
  </authors>
  <commentList>
    <comment ref="F8" authorId="0">
      <text>
        <r>
          <rPr>
            <sz val="9"/>
            <color rgb="FF000000"/>
            <rFont val="Arial"/>
            <family val="2"/>
          </rPr>
          <t xml:space="preserve">These cells have been auto-populated, but can be overwritten if your payroll expenses increase over time. To restore the auto-population, enter this formula in the cell: =F[insert row number]. For example, the first row in this section would use: =F8. </t>
        </r>
      </text>
    </comment>
    <comment ref="B14" authorId="0">
      <text>
        <r>
          <rPr>
            <sz val="9"/>
            <color rgb="FF000000"/>
            <rFont val="Arial"/>
            <family val="2"/>
          </rPr>
          <t xml:space="preserve">The Wage Base limit is the maximum earned gross income on which a given tax may be imposed. If you are paying a salary above that amount, you'll need to factor that into your calculation. The amounts below are for 2012.
</t>
        </r>
      </text>
    </comment>
    <comment ref="C15" authorId="0">
      <text>
        <r>
          <rPr>
            <sz val="9"/>
            <color rgb="FF000000"/>
            <rFont val="Tahoma"/>
            <family val="2"/>
          </rPr>
          <t xml:space="preserve">This number will be an approximation of the FICA taxes. If the salaries of individuals exceed the wage base limit, this number will overstate the FICA tax and should be adjusted.
</t>
        </r>
      </text>
    </comment>
    <comment ref="C17" authorId="0">
      <text>
        <r>
          <rPr>
            <sz val="9"/>
            <color rgb="FF000000"/>
            <rFont val="Tahoma"/>
            <family val="2"/>
          </rPr>
          <t xml:space="preserve">The Federal Unemployment tax rate was 6.2% from January 1, 2011 through June 30, 2011; and decreased to 6.0% as of July 1, 2011. It is currently still set at that rate, less a maximum credit of 5.4% for amounts paid under State unemployment insurance laws.  Accordingly, the normal net FUTA tax is 0.6%. This information is as-of November 2015. Check with the IRS for current information. 
</t>
        </r>
      </text>
    </comment>
    <comment ref="C18" authorId="0">
      <text>
        <r>
          <rPr>
            <sz val="9"/>
            <color rgb="FF000000"/>
            <rFont val="Tahoma"/>
            <family val="2"/>
          </rPr>
          <t xml:space="preserve">Each state has different SUTA rates and wage base limits. Tailor this cell to reflect your state's information.
</t>
        </r>
      </text>
    </comment>
    <comment ref="E19" authorId="0">
      <text>
        <r>
          <rPr>
            <b/>
            <sz val="11"/>
            <color rgb="FF000000"/>
            <rFont val="Gill Sans MT"/>
            <family val="2"/>
          </rPr>
          <t xml:space="preserve">
For these benefits, the formula assumes part-time employees are included. If this is not the case, change the formula accordingly.</t>
        </r>
      </text>
    </comment>
    <comment ref="E20" authorId="0">
      <text>
        <r>
          <rPr>
            <sz val="9"/>
            <color rgb="FF000000"/>
            <rFont val="Arial"/>
            <family val="2"/>
          </rPr>
          <t xml:space="preserve">
For these benefits, the formula assumes part-time employees are included. If this is not the case, change the formula accordingly.</t>
        </r>
      </text>
    </comment>
    <comment ref="E21" authorId="0">
      <text>
        <r>
          <rPr>
            <sz val="9"/>
            <color rgb="FF000000"/>
            <rFont val="Arial"/>
            <family val="2"/>
          </rPr>
          <t xml:space="preserve">
For these benefits, the formula assumes part-time employees are included. If this is not the case, change the formula accordingly.</t>
        </r>
      </text>
    </comment>
    <comment ref="E22" authorId="0">
      <text>
        <r>
          <rPr>
            <sz val="9"/>
            <color rgb="FF000000"/>
            <rFont val="Arial"/>
            <family val="2"/>
          </rPr>
          <t>For these benefits, the formula assumes part-time employees are included. If this is not the case, change the formula accordingly.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Heather Hendy</author>
  </authors>
  <commentList>
    <comment ref="C8" authorId="0">
      <text>
        <r>
          <rPr>
            <sz val="9"/>
            <color rgb="FF000000"/>
            <rFont val="Arial"/>
            <family val="2"/>
          </rPr>
          <t>TIP: Enter these in the plural form! Ex. projects, dresses, bikes, etc.</t>
        </r>
      </text>
    </comment>
    <comment ref="E8" authorId="0">
      <text>
        <r>
          <rPr>
            <sz val="9"/>
            <color rgb="FF000000"/>
            <rFont val="Arial"/>
            <family val="2"/>
          </rPr>
          <t>TIP: Click here to access a calculator that can help you determine your COGS per unit.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SCORE:</author>
    <author>SCORE</author>
    <author>Heather Hendy</author>
  </authors>
  <commentList>
    <comment ref="B9" authorId="0">
      <text>
        <r>
          <rPr>
            <sz val="9"/>
            <color rgb="FF000000"/>
            <rFont val="Arial"/>
            <family val="2"/>
          </rPr>
          <t xml:space="preserve">If you are a retail business or don't have accounts receivable put 100% for each year. </t>
        </r>
      </text>
    </comment>
    <comment ref="B10" authorId="0">
      <text>
        <r>
          <rPr>
            <sz val="9"/>
            <color rgb="FF000000"/>
            <rFont val="Arial"/>
            <family val="2"/>
          </rPr>
          <t>In this field put the percentage of your sales that you expect to carry as A/R. If your business sells in cash, put 0%. Otherwise, estimate the percentage that will be paid between 30 and 60 days after sale.</t>
        </r>
      </text>
    </comment>
    <comment ref="B11" authorId="0">
      <text>
        <r>
          <rPr>
            <sz val="9"/>
            <color rgb="FF000000"/>
            <rFont val="Arial"/>
            <family val="2"/>
          </rPr>
          <t>In this field put the percentage of your sales that you expect to carry as A/R but not paid for more than 60 days. If your business sells in cash, put 0%. Otherwise, estimate the percentage that will be paid more than 60 days after sale.</t>
        </r>
      </text>
    </comment>
    <comment ref="B12" authorId="0">
      <text>
        <r>
          <rPr>
            <sz val="9"/>
            <color rgb="FF000000"/>
            <rFont val="Arial"/>
            <family val="2"/>
          </rPr>
          <t xml:space="preserve">Allowance for bad debt is the percentage of total A/R you believe will not be collectable for whatever reason. It could be because your customer becomes insolvent or goes out of business. 
If you can find an industry average for your industry, use that percentage. If in doubt, use either 0 or 1%. Many businesses that have good collection processes may have substantially less than 1% during a strong economy. Bankers like to see a figure here because it lets them know you are realistic about discounting the total value of your A/R as collateral for a potential loan. </t>
        </r>
      </text>
    </comment>
    <comment ref="D24" authorId="0">
      <text>
        <r>
          <rPr>
            <sz val="9"/>
            <color rgb="FF000000"/>
            <rFont val="Arial"/>
            <family val="2"/>
          </rPr>
          <t xml:space="preserve">How low do you want to let your ending cash balance to get? The minimum should be $0, but you might want to choose $1000, $5000, etc. </t>
        </r>
      </text>
    </comment>
    <comment ref="B27" authorId="0">
      <text>
        <r>
          <rPr>
            <sz val="9"/>
            <color rgb="FF000000"/>
            <rFont val="Arial"/>
            <family val="2"/>
          </rPr>
          <t>Use this space to add items purchased after the date of the starting point (Tab 1a).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Heather Hendy</author>
    <author>Joe Clarke</author>
  </authors>
  <commentList>
    <comment ref="B22" authorId="0">
      <text>
        <r>
          <rPr>
            <sz val="9"/>
            <color rgb="FF000000"/>
            <rFont val="Arial"/>
            <family val="2"/>
          </rPr>
          <t xml:space="preserve">This line allows you to approximate the personal income tax of the owner(s). This is the tax on the profit for the business.  </t>
        </r>
      </text>
    </comment>
    <comment ref="B25" authorId="0">
      <text>
        <r>
          <rPr>
            <sz val="9"/>
            <color rgb="FF000000"/>
            <rFont val="Arial"/>
            <family val="2"/>
          </rPr>
          <t>Only record owner's draws above those already listed on the payroll tabs.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Joe Clarke</author>
  </authors>
  <commentList>
    <comment ref="A24" authorId="0">
      <text>
        <r>
          <rPr>
            <b/>
            <sz val="9"/>
            <color rgb="FF000000"/>
            <rFont val="Tahoma"/>
            <family val="2"/>
          </rPr>
          <t xml:space="preserve">Only record owner's draws above those already listed on the payroll tabs.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Heather Hendy</author>
  </authors>
  <commentList>
    <comment ref="B45" authorId="0">
      <text>
        <r>
          <rPr>
            <sz val="9"/>
            <color rgb="FF000000"/>
            <rFont val="Arial"/>
            <family val="2"/>
          </rPr>
          <t xml:space="preserve">
Also known as EBITDA (Earnings Before Interest, Taxes,  Depreciation and Amortization). This metric allows for a comparison across different businesses, which might have different levels of taxes, depreciation, or interest. This number should be used in conjunction with other metrics, as it does not give a full picture of the health of the business.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Heather Hendy</author>
  </authors>
  <commentList>
    <comment ref="B44" authorId="0">
      <text>
        <r>
          <rPr>
            <sz val="9"/>
            <color rgb="FF000000"/>
            <rFont val="Arial"/>
            <family val="2"/>
          </rPr>
          <t xml:space="preserve">
Also known as EBITDA (Earnings Before Interest, Taxes,  Depreciation and Amortization). This metric allows for a comparison across different businesses, which might have different levels of taxes, depreciation, or interest. This number should be used in conjunction with other metrics, as it does not give a full picture of the health of the business.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Heather Hendy</author>
    <author>Jack Hess</author>
  </authors>
  <commentList>
    <comment ref="F7" authorId="0">
      <text>
        <r>
          <rPr>
            <sz val="11"/>
            <color rgb="FF000000"/>
            <rFont val="Gill Sans MT"/>
            <family val="2"/>
          </rPr>
          <t xml:space="preserve">
With some research, you can find industry norms for each ratio. The Risk Management Association provides Annual Statement Studies with this information, for a fee. Visit your local library to see if they have a free copy you can use. You can also refer to trade magazines or other sources of industry data, such as www.bizstats.com or  http://biz.yahoo.com/p/industries.html. You may need to use a mix of sources, as one source may not provide all of the data. Speak with your mentor to ensure that the industry norms you are using are relevant to your business. 
Leave this column blank if you do not have the industry information. 
</t>
        </r>
      </text>
    </comment>
    <comment ref="C9" authorId="0">
      <text>
        <r>
          <rPr>
            <b/>
            <sz val="8"/>
            <color rgb="FF000000"/>
            <rFont val="Tahoma"/>
            <family val="2"/>
          </rPr>
          <t>An indication of a company's ability to meet short-term debt obligations.</t>
        </r>
      </text>
    </comment>
    <comment ref="C10" authorId="0">
      <text>
        <r>
          <rPr>
            <b/>
            <sz val="8"/>
            <color rgb="FF000000"/>
            <rFont val="Tahoma"/>
            <family val="2"/>
          </rPr>
          <t>The ratio between all assets quickly convertible into cash and current liabilities. Measures a company's liquidity. Also called acid-test ratio.</t>
        </r>
      </text>
    </comment>
    <comment ref="C12" authorId="0">
      <text>
        <r>
          <rPr>
            <b/>
            <sz val="8"/>
            <color rgb="FF000000"/>
            <rFont val="Tahoma"/>
            <family val="2"/>
          </rPr>
          <t>This ratio expresses the relationship between capital contributed by creditors and that contributed by owners.</t>
        </r>
      </text>
    </comment>
    <comment ref="C13" authorId="0">
      <text>
        <r>
          <rPr>
            <b/>
            <sz val="8"/>
            <color rgb="FF000000"/>
            <rFont val="Tahoma"/>
            <family val="2"/>
          </rPr>
          <t>This ratio indicates how well your cash flow covers debt and the capability of the business to take on additional debt.</t>
        </r>
      </text>
    </comment>
    <comment ref="C15" authorId="0">
      <text>
        <r>
          <rPr>
            <b/>
            <sz val="8"/>
            <color rgb="FF000000"/>
            <rFont val="Tahoma"/>
            <family val="2"/>
          </rPr>
          <t>This ratio calculates the percentage of increase (or decrease) in sales between the current year and the previous year.</t>
        </r>
      </text>
    </comment>
    <comment ref="C16" authorId="0">
      <text>
        <r>
          <rPr>
            <b/>
            <sz val="8"/>
            <color rgb="FF000000"/>
            <rFont val="Tahoma"/>
            <family val="2"/>
          </rPr>
          <t>The percentage of sales used to pay for the COGS (expenses which directly vary with sales) is expressed in this ratio.</t>
        </r>
      </text>
    </comment>
    <comment ref="C17" authorId="0">
      <text>
        <r>
          <rPr>
            <b/>
            <sz val="8"/>
            <color rgb="FF000000"/>
            <rFont val="Tahoma"/>
            <family val="2"/>
          </rPr>
          <t>This ratio indicates how much profit is earned on your products without consideration of indirect costs, selling and administration costs.</t>
        </r>
      </text>
    </comment>
    <comment ref="C18" authorId="0">
      <text>
        <r>
          <rPr>
            <b/>
            <sz val="8"/>
            <color rgb="FF000000"/>
            <rFont val="Tahoma"/>
            <family val="2"/>
          </rPr>
          <t>This ratio measures the percentage of selling, general and administrative costs to your amount of sales.</t>
        </r>
      </text>
    </comment>
    <comment ref="C19" authorId="0">
      <text>
        <r>
          <rPr>
            <b/>
            <sz val="8"/>
            <color rgb="FF000000"/>
            <rFont val="Tahoma"/>
            <family val="2"/>
          </rPr>
          <t>Net profit margin shows how much profit comes from every dollar of sales.</t>
        </r>
      </text>
    </comment>
    <comment ref="C20" authorId="0">
      <text>
        <r>
          <rPr>
            <b/>
            <sz val="8"/>
            <color rgb="FF000000"/>
            <rFont val="Tahoma"/>
            <family val="2"/>
          </rPr>
          <t>Return on equity determines the rate of return on your investment in the business.  As an owner or shareholder this is one of the most important ratios as it shows the hard fact about the business - are you making enough of a profit to compensate you for the risk of being in business?</t>
        </r>
      </text>
    </comment>
    <comment ref="C21" authorId="0">
      <text>
        <r>
          <rPr>
            <b/>
            <sz val="8"/>
            <color rgb="FF000000"/>
            <rFont val="Tahoma"/>
            <family val="2"/>
          </rPr>
          <t>This ratio measures how effectively assets are used to generate a return.</t>
        </r>
      </text>
    </comment>
    <comment ref="C22" authorId="0">
      <text>
        <r>
          <rPr>
            <b/>
            <sz val="8"/>
            <color rgb="FF000000"/>
            <rFont val="Tahoma"/>
            <family val="2"/>
          </rPr>
          <t>This ratio measures the owner's compensation as a percentage of sales.</t>
        </r>
      </text>
    </comment>
    <comment ref="C24" authorId="0">
      <text>
        <r>
          <rPr>
            <b/>
            <sz val="8"/>
            <color rgb="FF000000"/>
            <rFont val="Tahoma"/>
            <family val="2"/>
          </rPr>
          <t>Days in receivable calculates the average number of days it takes to collect your account receivable (number of days of sales in receivables).</t>
        </r>
      </text>
    </comment>
    <comment ref="C25" authorId="0">
      <text>
        <r>
          <rPr>
            <b/>
            <sz val="8"/>
            <color rgb="FF000000"/>
            <rFont val="Tahoma"/>
            <family val="2"/>
          </rPr>
          <t>This ratio tells you the number of times accounts receivable turnover during the year.</t>
        </r>
      </text>
    </comment>
    <comment ref="C26" authorId="0">
      <text>
        <r>
          <rPr>
            <b/>
            <sz val="8"/>
            <color rgb="FF000000"/>
            <rFont val="Tahoma"/>
            <family val="2"/>
          </rPr>
          <t>This ratio shows the average number of days it will take to sell your inventory.</t>
        </r>
      </text>
    </comment>
    <comment ref="C27" authorId="0">
      <text>
        <r>
          <rPr>
            <b/>
            <sz val="8"/>
            <color rgb="FF000000"/>
            <rFont val="Tahoma"/>
            <family val="2"/>
          </rPr>
          <t>This ratio calculates the number of times inventory is turned over (or sold) during the year.</t>
        </r>
      </text>
    </comment>
    <comment ref="C28" authorId="0">
      <text>
        <r>
          <rPr>
            <b/>
            <sz val="8"/>
            <color rgb="FF000000"/>
            <rFont val="Tahoma"/>
            <family val="2"/>
          </rPr>
          <t>This ratio indicates how efficiently your business generates sales on every dollar of assets.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<sst xmlns="http://schemas.openxmlformats.org/spreadsheetml/2006/main" count="416" uniqueCount="416">
  <si>
    <t>Step 1 - Enter info about your company in yellow shaded boxes below.</t>
  </si>
  <si>
    <t>Preparer Name</t>
  </si>
  <si>
    <t>Company Name</t>
  </si>
  <si>
    <t>Starting Month</t>
  </si>
  <si>
    <t>Starting Year</t>
  </si>
  <si>
    <t>Step 2 - Read the following instructions</t>
  </si>
  <si>
    <t>Month 1</t>
  </si>
  <si>
    <t>Month 2</t>
  </si>
  <si>
    <t>Month 3</t>
  </si>
  <si>
    <t>Month 4</t>
  </si>
  <si>
    <t>Month 5</t>
  </si>
  <si>
    <t>Month 6</t>
  </si>
  <si>
    <t>Month 7</t>
  </si>
  <si>
    <t>Month 8</t>
  </si>
  <si>
    <t>Month 9</t>
  </si>
  <si>
    <t>Month 10</t>
  </si>
  <si>
    <t>Month 11</t>
  </si>
  <si>
    <t>Month 12</t>
  </si>
  <si>
    <t>Start-up Expenses Year 1 (Starting Balance Sheet)</t>
  </si>
  <si>
    <t>Prepared By:</t>
  </si>
  <si>
    <t>Company Name:</t>
  </si>
  <si>
    <t>Owner</t>
  </si>
  <si>
    <t>Company 1</t>
  </si>
  <si>
    <t>Fixed Assets</t>
  </si>
  <si>
    <t>Amount</t>
  </si>
  <si>
    <t>Depreciation (years)</t>
  </si>
  <si>
    <t>Notes</t>
  </si>
  <si>
    <t>Real Estate-Land</t>
  </si>
  <si>
    <t>Not Depreciated</t>
  </si>
  <si>
    <t>Real Estate-Buildings</t>
  </si>
  <si>
    <t>Leasehold Improvements</t>
  </si>
  <si>
    <t>Equipment</t>
  </si>
  <si>
    <t>Furniture and Fixtures</t>
  </si>
  <si>
    <t>Vehicles</t>
  </si>
  <si>
    <t>Other</t>
  </si>
  <si>
    <t>Total Fixed Assets</t>
  </si>
  <si>
    <t>Operating Capital</t>
  </si>
  <si>
    <t>Pre-Opening Salaries and Wages</t>
  </si>
  <si>
    <t>Prepaid Insurance Premiums</t>
  </si>
  <si>
    <t>Inventory</t>
  </si>
  <si>
    <t>Legal and Accounting Fees</t>
  </si>
  <si>
    <t>Rent Deposits</t>
  </si>
  <si>
    <t>Utility Deposits</t>
  </si>
  <si>
    <t>Supplies</t>
  </si>
  <si>
    <t>Advertising and Promotions</t>
  </si>
  <si>
    <t>Licenses</t>
  </si>
  <si>
    <t>Other Initial Start-Up Costs</t>
  </si>
  <si>
    <t>Working Capital (Cash On Hand)</t>
  </si>
  <si>
    <t>Total Operating Capital</t>
  </si>
  <si>
    <t>Total Required Funds</t>
  </si>
  <si>
    <t>Sources of Funding</t>
  </si>
  <si>
    <t>Percentage</t>
  </si>
  <si>
    <t>Totals</t>
  </si>
  <si>
    <t>Loan Rate</t>
  </si>
  <si>
    <t>Term in Months</t>
  </si>
  <si>
    <t>Monthly Payments</t>
  </si>
  <si>
    <t>Owner's Equity</t>
  </si>
  <si>
    <t>Outside Investors</t>
  </si>
  <si>
    <t>Additional Loans or Debt</t>
  </si>
  <si>
    <t>Commercial Loan</t>
  </si>
  <si>
    <t>Commercial Mortgage</t>
  </si>
  <si>
    <t>See Loan Amortization &amp; Depreciation Schedule</t>
  </si>
  <si>
    <t>Credit Card Debt</t>
  </si>
  <si>
    <t>Vehicle Loans</t>
  </si>
  <si>
    <t>Other Bank Debt</t>
  </si>
  <si>
    <t>Total Sources of Funding</t>
  </si>
  <si>
    <t>Cell D 42 must equal cell C31</t>
  </si>
  <si>
    <t>Total Funding Needed</t>
  </si>
  <si>
    <t>You are fully funded (Balanced)</t>
  </si>
  <si>
    <t/>
  </si>
  <si>
    <t>Existing Businesses ONLY -- Calculating Cash on Hand</t>
  </si>
  <si>
    <t>Cash</t>
  </si>
  <si>
    <t>+ Accounts Receivable</t>
  </si>
  <si>
    <t>+ Prepaid Expenses</t>
  </si>
  <si>
    <t xml:space="preserve">- Accounts Payable </t>
  </si>
  <si>
    <t>- Accrued Expenses</t>
  </si>
  <si>
    <t>Total Cash on Hand</t>
  </si>
  <si>
    <t>Payroll Year 1</t>
  </si>
  <si>
    <t>Employee Types</t>
  </si>
  <si>
    <t>Number of Owners /Employees</t>
  </si>
  <si>
    <t>Average Hourly Pay (to 2 decimal places, ex. $15.23)</t>
  </si>
  <si>
    <t>Estimated Hrs./Week (per person)</t>
  </si>
  <si>
    <t>Estimated Pay/Month (Total)</t>
  </si>
  <si>
    <t>Annual Totals</t>
  </si>
  <si>
    <t>Founder (You)</t>
  </si>
  <si>
    <t>Sales Representatives</t>
  </si>
  <si>
    <t>Account Executives</t>
  </si>
  <si>
    <t>Independent Contractors</t>
  </si>
  <si>
    <t>Total Salaries and Wages</t>
  </si>
  <si>
    <t>Payroll Taxes and Benefits</t>
  </si>
  <si>
    <t>Wage Base Limit</t>
  </si>
  <si>
    <t>Percentage of Salary/Wage</t>
  </si>
  <si>
    <t>Estimated Taxes &amp; Benefits/Month (Total)</t>
  </si>
  <si>
    <t>Social Security</t>
  </si>
  <si>
    <t>Medicare</t>
  </si>
  <si>
    <t>--</t>
  </si>
  <si>
    <t>Federal Unemployment Tax (FUTA)</t>
  </si>
  <si>
    <t>State Unemployment Tax (SUTA)</t>
  </si>
  <si>
    <t>Employee Pension Programs</t>
  </si>
  <si>
    <t>ed</t>
  </si>
  <si>
    <t>Worker's Compensation</t>
  </si>
  <si>
    <t>Employee Health Insurance</t>
  </si>
  <si>
    <t>Other Employee Benefit Programs</t>
  </si>
  <si>
    <t>Total Payroll Taxes and Benefits</t>
  </si>
  <si>
    <t>Total Salaries and Related Expenses</t>
  </si>
  <si>
    <t>Payroll Years 1-3</t>
  </si>
  <si>
    <t>Year 1 Totals</t>
  </si>
  <si>
    <t>Growth Rate 1 to 2</t>
  </si>
  <si>
    <t>Second Year</t>
  </si>
  <si>
    <t>Growth Rate 2 to 3</t>
  </si>
  <si>
    <t>Third Year</t>
  </si>
  <si>
    <t>Owner(s)</t>
  </si>
  <si>
    <t>Full-Time Employees</t>
  </si>
  <si>
    <t>Part-Time Employees</t>
  </si>
  <si>
    <t>Sales Forecast Year 1                                                      Q1</t>
  </si>
  <si>
    <t xml:space="preserve">                  Q2</t>
  </si>
  <si>
    <t xml:space="preserve">                Q3</t>
  </si>
  <si>
    <t xml:space="preserve">                                Q4</t>
  </si>
  <si>
    <t>Monthly Growth Rate by Qtr Yr1</t>
  </si>
  <si>
    <t>Complete This Chart First:</t>
  </si>
  <si>
    <t>Product Lines</t>
  </si>
  <si>
    <t>Units</t>
  </si>
  <si>
    <t>Sales Price Per Unit</t>
  </si>
  <si>
    <t>COGS Per Unit</t>
  </si>
  <si>
    <t>Margin Per Unit</t>
  </si>
  <si>
    <t>Number of Contractors</t>
  </si>
  <si>
    <t>Immediate Revenue (70%)</t>
  </si>
  <si>
    <t>Deferred Revenue - 1 Month (20%)</t>
  </si>
  <si>
    <t>Deferred Revenue - 6 Months (10%)</t>
  </si>
  <si>
    <t>Category Breakdown</t>
  </si>
  <si>
    <t>Category / Total</t>
  </si>
  <si>
    <t>1 Sold</t>
  </si>
  <si>
    <t>Total Sales</t>
  </si>
  <si>
    <t>Total COGS</t>
  </si>
  <si>
    <t>Total Margin</t>
  </si>
  <si>
    <t>Margin</t>
  </si>
  <si>
    <t>Product 5</t>
  </si>
  <si>
    <t>Units Sold</t>
  </si>
  <si>
    <t>Product 6</t>
  </si>
  <si>
    <t>Total Units Sold</t>
  </si>
  <si>
    <t>Total Cost of Goods Sold</t>
  </si>
  <si>
    <t>Sales Forecast Year 1-3</t>
  </si>
  <si>
    <t xml:space="preserve">Prepared by: </t>
  </si>
  <si>
    <t xml:space="preserve">Monthly Growth Rate Year 2  </t>
  </si>
  <si>
    <t xml:space="preserve">Monthly  Growth  Rate Year  3  </t>
  </si>
  <si>
    <t>Year 2 Totals</t>
  </si>
  <si>
    <t>Year 3 Totals</t>
  </si>
  <si>
    <t xml:space="preserve"> Sold</t>
  </si>
  <si>
    <t>Additional Inputs</t>
  </si>
  <si>
    <t>Accounts Receivable (A/R) Days Sales Outstanding</t>
  </si>
  <si>
    <t>Percent of Collections</t>
  </si>
  <si>
    <t>Year 1</t>
  </si>
  <si>
    <t>Year 2</t>
  </si>
  <si>
    <t>Year 3</t>
  </si>
  <si>
    <t>Paid within 30 days</t>
  </si>
  <si>
    <t>Paid between 30 and 60 days</t>
  </si>
  <si>
    <t>Paid in more than 60 days</t>
  </si>
  <si>
    <t>Allowance for bad debt</t>
  </si>
  <si>
    <t>This should equal 100%  ----&gt;</t>
  </si>
  <si>
    <t>Accounts Payable (A/P)</t>
  </si>
  <si>
    <t>Percent of Disbursements</t>
  </si>
  <si>
    <t>Line of Credit Assumptions</t>
  </si>
  <si>
    <t>Desired Minimum Cash Balance</t>
  </si>
  <si>
    <t>Line of Credit Interest Rate</t>
  </si>
  <si>
    <t>Additional Fixed Assets Purchases</t>
  </si>
  <si>
    <t>Year 2 Total</t>
  </si>
  <si>
    <t>Year 3 Total</t>
  </si>
  <si>
    <t>Real Estate</t>
  </si>
  <si>
    <t>Other Fixed Assets</t>
  </si>
  <si>
    <t>Total Additional Fixed Assets</t>
  </si>
  <si>
    <t>Income Tax Assumptions</t>
  </si>
  <si>
    <t>Effective Income Tax Rate - Year 1</t>
  </si>
  <si>
    <t>Effective Income Tax Rate - Year 2</t>
  </si>
  <si>
    <t>Effective Income Tax Rate - Year 3</t>
  </si>
  <si>
    <t>Amortization of Start-Up Costs</t>
  </si>
  <si>
    <t>Amortization Period in Years</t>
  </si>
  <si>
    <t>Reehash Business Model Parameters</t>
  </si>
  <si>
    <t>Lead Generation &amp; Conversion</t>
  </si>
  <si>
    <t>Leads per contractor per day</t>
  </si>
  <si>
    <t>Show rate (% of scheduled consultations that show)</t>
  </si>
  <si>
    <t>Conversion rate (% of shows that sign)</t>
  </si>
  <si>
    <t>Contract &amp; Fee Structure</t>
  </si>
  <si>
    <t>Average contract value</t>
  </si>
  <si>
    <t>Success fee rate</t>
  </si>
  <si>
    <t>Fee per closed deal</t>
  </si>
  <si>
    <t>Revenue Recognition Timing</t>
  </si>
  <si>
    <t>Recognized in month of close</t>
  </si>
  <si>
    <t>Recognized in following month</t>
  </si>
  <si>
    <t>Recognized six months later</t>
  </si>
  <si>
    <t>Variable Costs</t>
  </si>
  <si>
    <t>Closer commission rate (% of contract value)</t>
  </si>
  <si>
    <t>Closer commission per deal</t>
  </si>
  <si>
    <t>Operating Expenses Year 1</t>
  </si>
  <si>
    <t>Expenses</t>
  </si>
  <si>
    <t>Advertising</t>
  </si>
  <si>
    <t>Car and Truck Expenses</t>
  </si>
  <si>
    <t>Closer Commissions (1% of contract value)</t>
  </si>
  <si>
    <t>Contract Labor (Not included in payroll)</t>
  </si>
  <si>
    <t>Insurance (other than health)</t>
  </si>
  <si>
    <t>Legal and Professional Services (Company Setup)</t>
  </si>
  <si>
    <t>Software &amp; Tools (CRM, dialing, calendaring)</t>
  </si>
  <si>
    <t>Rent or Lease -- Vehicles, Machinery, Equipment</t>
  </si>
  <si>
    <t>Rent or Lease -- Other Business Property</t>
  </si>
  <si>
    <t>Repairs and Maintenance</t>
  </si>
  <si>
    <t>Travel, Meals and Entertainment</t>
  </si>
  <si>
    <t>Utilities</t>
  </si>
  <si>
    <t xml:space="preserve">Miscellaneous </t>
  </si>
  <si>
    <t>Total Expenses</t>
  </si>
  <si>
    <t>Other Expenses</t>
  </si>
  <si>
    <t xml:space="preserve">Depreciation </t>
  </si>
  <si>
    <t>Interest</t>
  </si>
  <si>
    <t xml:space="preserve">Line of Credit </t>
  </si>
  <si>
    <t>Bad Debt Expense</t>
  </si>
  <si>
    <t>Total Other Expenses</t>
  </si>
  <si>
    <t>Total Fixed Operating Expenses</t>
  </si>
  <si>
    <t>Operating Expenses Years 1-3</t>
  </si>
  <si>
    <t>Line Item</t>
  </si>
  <si>
    <t>First Year</t>
  </si>
  <si>
    <t>Total Operating Expenses</t>
  </si>
  <si>
    <t>Cash Flow Forecast Year 1</t>
  </si>
  <si>
    <t>Beginning Balance</t>
  </si>
  <si>
    <t>Cash Inflows</t>
  </si>
  <si>
    <t>Cash Sales</t>
  </si>
  <si>
    <t xml:space="preserve">Accounts Receivable </t>
  </si>
  <si>
    <t>Total Cash Inflows</t>
  </si>
  <si>
    <t>Cash Outflows</t>
  </si>
  <si>
    <t>Investing Activities</t>
  </si>
  <si>
    <t>New Fixed Asset Purchases</t>
  </si>
  <si>
    <t>Additional Inventory</t>
  </si>
  <si>
    <t>Cost of Goods Sold</t>
  </si>
  <si>
    <t>Operating Activities</t>
  </si>
  <si>
    <t>Operating Expenses</t>
  </si>
  <si>
    <t>Payroll</t>
  </si>
  <si>
    <t>Taxes</t>
  </si>
  <si>
    <t>Financing Activities</t>
  </si>
  <si>
    <t>Loan Payments</t>
  </si>
  <si>
    <t>Owners Distribution</t>
  </si>
  <si>
    <t>Line of Credit Interest</t>
  </si>
  <si>
    <t>Line of Credit Repayments</t>
  </si>
  <si>
    <t>Dividends Paid</t>
  </si>
  <si>
    <t>Total Cash Outflows</t>
  </si>
  <si>
    <t>Net Cash Flows</t>
  </si>
  <si>
    <t>Operating Cash Balance</t>
  </si>
  <si>
    <t>Line of Credit Drawdown</t>
  </si>
  <si>
    <t>Ending Cash Balance</t>
  </si>
  <si>
    <t>Line of Credit Balance</t>
  </si>
  <si>
    <t>Cash Flow Forecast Years 1-3</t>
  </si>
  <si>
    <t>Income Statement Year 1</t>
  </si>
  <si>
    <t>Revenue</t>
  </si>
  <si>
    <t>Total Revenue</t>
  </si>
  <si>
    <t>Gross Margin</t>
  </si>
  <si>
    <t>Other Expense 1</t>
  </si>
  <si>
    <t>Other Expense 2</t>
  </si>
  <si>
    <t>Income (Before Other Expenses)</t>
  </si>
  <si>
    <t>Amortized Start-up Expenses</t>
  </si>
  <si>
    <t>Depreciation</t>
  </si>
  <si>
    <t>Line of Credit</t>
  </si>
  <si>
    <t>Net Income Before Income Tax</t>
  </si>
  <si>
    <t>Income Tax</t>
  </si>
  <si>
    <t>Net Profit/Loss</t>
  </si>
  <si>
    <t>Income Tax Calculations</t>
  </si>
  <si>
    <t>Monthly Taxable Income</t>
  </si>
  <si>
    <t>Cumulative Taxable Income</t>
  </si>
  <si>
    <t>Income Statement Years 1-3</t>
  </si>
  <si>
    <t>Net Income/Loss</t>
  </si>
  <si>
    <t>Total</t>
  </si>
  <si>
    <t>Taxable Amount Year 2</t>
  </si>
  <si>
    <t>Income Taxes</t>
  </si>
  <si>
    <t>Taxable Amount Year 3</t>
  </si>
  <si>
    <t>Balance Sheet Years 1-3</t>
  </si>
  <si>
    <t>ASSETS</t>
  </si>
  <si>
    <t>Current Assets</t>
  </si>
  <si>
    <t>Accounts Receivable</t>
  </si>
  <si>
    <t>Prepaid Expenses</t>
  </si>
  <si>
    <t>Other Initial Costs</t>
  </si>
  <si>
    <t>Total Current Assets</t>
  </si>
  <si>
    <t>Real Estate -- Land</t>
  </si>
  <si>
    <t>Real Estate -- Buildings</t>
  </si>
  <si>
    <t xml:space="preserve">Other </t>
  </si>
  <si>
    <t>(Less Accumulated Depreciation)</t>
  </si>
  <si>
    <t>Total Assets</t>
  </si>
  <si>
    <t>LIABILITIES &amp; EQUITY</t>
  </si>
  <si>
    <t>Liabilities</t>
  </si>
  <si>
    <t>Accounts Payable</t>
  </si>
  <si>
    <t>Commercial Loan Balance</t>
  </si>
  <si>
    <t>Commercial Mortgage Balance</t>
  </si>
  <si>
    <t>Credit Card Debt Balance</t>
  </si>
  <si>
    <t>Vehicle Loans Balance</t>
  </si>
  <si>
    <t>Other Bank Debt Balance</t>
  </si>
  <si>
    <t>Total  Liabilities</t>
  </si>
  <si>
    <t>Equity</t>
  </si>
  <si>
    <t>Common Stock</t>
  </si>
  <si>
    <t>Retained Earnings</t>
  </si>
  <si>
    <t>Dividends Dispersed/Owners Draw</t>
  </si>
  <si>
    <t>Total Equity</t>
  </si>
  <si>
    <t>Total Liabilities and Equity</t>
  </si>
  <si>
    <t>Balance sheet in or out of balance?</t>
  </si>
  <si>
    <t>Balanced!</t>
  </si>
  <si>
    <t>Breakeven Analysis Year 1</t>
  </si>
  <si>
    <t xml:space="preserve">Gross Margin % of Sales </t>
  </si>
  <si>
    <t>Gross Margin/Total Sales</t>
  </si>
  <si>
    <t xml:space="preserve">Total Fixed Expenses </t>
  </si>
  <si>
    <t>Operating + Payroll</t>
  </si>
  <si>
    <t>Breakeven Sales in Dollars (Annual)</t>
  </si>
  <si>
    <t>Gross Margin % of Sales</t>
  </si>
  <si>
    <t>Yearly Breakeven Amount</t>
  </si>
  <si>
    <t>Monthly Breakeven Amount</t>
  </si>
  <si>
    <t>Financial Ratios - Year 1</t>
  </si>
  <si>
    <t>Ratios</t>
  </si>
  <si>
    <t>Year One</t>
  </si>
  <si>
    <t>Year Two</t>
  </si>
  <si>
    <t>Year Three</t>
  </si>
  <si>
    <t xml:space="preserve"> Industry Norms</t>
  </si>
  <si>
    <t>Liquidity</t>
  </si>
  <si>
    <t>Current Ratio</t>
  </si>
  <si>
    <t>Quick Ratio</t>
  </si>
  <si>
    <t>Safety</t>
  </si>
  <si>
    <t>Debt to Equity Ratio</t>
  </si>
  <si>
    <t>Debt-Service Coverage Ratio - DSCR</t>
  </si>
  <si>
    <t>Profitability</t>
  </si>
  <si>
    <t xml:space="preserve">Sales Growth </t>
  </si>
  <si>
    <t>COGS to Sales</t>
  </si>
  <si>
    <t>Gross Profit Margin</t>
  </si>
  <si>
    <t>SG&amp;A to Sales</t>
  </si>
  <si>
    <t>Net Profit Margin</t>
  </si>
  <si>
    <t>Return on Equity (ROE)</t>
  </si>
  <si>
    <t>Return on Assets</t>
  </si>
  <si>
    <t>Owner's Compensation to Sales</t>
  </si>
  <si>
    <t>Efficiency</t>
  </si>
  <si>
    <t>Days in Receivables</t>
  </si>
  <si>
    <t>Accounts Receivable Turnover</t>
  </si>
  <si>
    <t>Days in Inventory</t>
  </si>
  <si>
    <t>Inventory Turnover</t>
  </si>
  <si>
    <t>Sales to Total Assets</t>
  </si>
  <si>
    <t>Diagnostic Tools - Year 1</t>
  </si>
  <si>
    <t>General Financing Assumptions</t>
  </si>
  <si>
    <t>Value</t>
  </si>
  <si>
    <t>Findings</t>
  </si>
  <si>
    <t>Owner's Cash Injection into the Business</t>
  </si>
  <si>
    <t>Owner's injection might be too low in relation to the amount of money needed</t>
  </si>
  <si>
    <t>Cash Request as percent of Total Required Funds</t>
  </si>
  <si>
    <t>Cash request seems reasonable with respect to total request</t>
  </si>
  <si>
    <t>Loan Assumptions</t>
  </si>
  <si>
    <t>Commercial Loan Interest rate</t>
  </si>
  <si>
    <t>Interest rate seems reasonable</t>
  </si>
  <si>
    <t>Commercial Loan Term in Months</t>
  </si>
  <si>
    <t>Loan term seems within range for this type of loan</t>
  </si>
  <si>
    <t>Commercial Mortgage Interest rate</t>
  </si>
  <si>
    <t>Commercial Mortgage Term in Months</t>
  </si>
  <si>
    <t>Debt-Service Coverage</t>
  </si>
  <si>
    <t>Calculated loan payments relative to operating profit seem reasonable</t>
  </si>
  <si>
    <t>Income Statement</t>
  </si>
  <si>
    <t>Gross Margin as a Percent of Sales</t>
  </si>
  <si>
    <t>Gross margin percentage seems reasonable</t>
  </si>
  <si>
    <t>Owner's Compensation Lower Limit Check</t>
  </si>
  <si>
    <t>An owner's compensation amount has been established</t>
  </si>
  <si>
    <t>Owner's Compensation Upper Limit Check</t>
  </si>
  <si>
    <t>Owner's compensation seems reasonable</t>
  </si>
  <si>
    <t>Advertising Expense Levels as a Percent of Sales</t>
  </si>
  <si>
    <t>Advertising as a percent of sales may be too low</t>
  </si>
  <si>
    <t>Profitability Levels</t>
  </si>
  <si>
    <t>The business is showing a profit</t>
  </si>
  <si>
    <t>Profitability as a Percent of Sales</t>
  </si>
  <si>
    <t>The projection may be too aggressive in stating profitability</t>
  </si>
  <si>
    <t>Cash Flow Statement</t>
  </si>
  <si>
    <t>Desired Operating cash Flow Levels</t>
  </si>
  <si>
    <t>The financial projection provides the desired level of cash flow</t>
  </si>
  <si>
    <t>Line of Credit Drawdowns</t>
  </si>
  <si>
    <t>The business doesn't seem to require a line of credit</t>
  </si>
  <si>
    <t>Accounts Receivable Ratio to Sales</t>
  </si>
  <si>
    <t>Accounts receivable amount as a percent of sales seems reasonable</t>
  </si>
  <si>
    <t>Balance Sheet</t>
  </si>
  <si>
    <t>Does the Year 1 Balance Sheet Balance?</t>
  </si>
  <si>
    <t>The balance sheet does balance</t>
  </si>
  <si>
    <t>Very comfortable</t>
  </si>
  <si>
    <t>Breakeven Analysis</t>
  </si>
  <si>
    <t>Do Sales Exceed the Breakeven Level?</t>
  </si>
  <si>
    <t>The sales projection exceeds the projected break-even sales level</t>
  </si>
  <si>
    <t>COGS Calculator</t>
  </si>
  <si>
    <t>Variable Costs of Products</t>
  </si>
  <si>
    <t>Timeframe:</t>
  </si>
  <si>
    <t>Month</t>
  </si>
  <si>
    <t>Product Line:</t>
  </si>
  <si>
    <t>Widget</t>
  </si>
  <si>
    <t xml:space="preserve">Raw materials </t>
  </si>
  <si>
    <t>Labor used to produce product</t>
  </si>
  <si>
    <t>Costs associated with shipping and storing raw materials</t>
  </si>
  <si>
    <t>Production facility expenses (use fraction of total if facility is used for other items)</t>
  </si>
  <si>
    <t xml:space="preserve">Total Product Expenses </t>
  </si>
  <si>
    <t>Number Units Sold in timeframe used</t>
  </si>
  <si>
    <t>Cost of Goods Sold Per Unit</t>
  </si>
  <si>
    <t>Please enter all information.</t>
  </si>
  <si>
    <t>Variable Costs of Services</t>
  </si>
  <si>
    <t>Project</t>
  </si>
  <si>
    <t>Amount spent on labor during timeframe</t>
  </si>
  <si>
    <t>Amount spent on materials during this timeframe</t>
  </si>
  <si>
    <t>List any other variable costs associated with the delivery of your service during this timeframe.</t>
  </si>
  <si>
    <t xml:space="preserve">Total Service Expenses </t>
  </si>
  <si>
    <t>Number Units Sold During Timeframe</t>
  </si>
  <si>
    <t>Return to Sales Forecast Year 1</t>
  </si>
  <si>
    <t>Amortization &amp; Depreciation Schedule</t>
  </si>
  <si>
    <t>Return to Starting Point</t>
  </si>
  <si>
    <t>Principal Amount</t>
  </si>
  <si>
    <t>Interest Rate</t>
  </si>
  <si>
    <t>Loan Term in Months</t>
  </si>
  <si>
    <t>Monthly Payment Amount</t>
  </si>
  <si>
    <t>Principal</t>
  </si>
  <si>
    <t>Loan Balance</t>
  </si>
  <si>
    <t>Starting Depreciation</t>
  </si>
  <si>
    <t>Additional Depreciation</t>
  </si>
  <si>
    <t>Ending Depreciation</t>
  </si>
  <si>
    <t>Ending Deprecation</t>
  </si>
  <si>
    <t>Monthly</t>
  </si>
  <si>
    <t>Total Expensed each Year</t>
  </si>
  <si>
    <t>Amount Amortized</t>
  </si>
  <si>
    <t>Total Amortized</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</si>
</sst>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0380" formatCode="_(* #,##0.00_);_(* \(#,##0.00\);_(* &quot;-&quot;??_);_(@_)"/>
    <numFmt numFmtId="40382" formatCode="_(&quot;$&quot;* #,##0.00_);_(&quot;$&quot;* \(#,##0.00\);_(&quot;$&quot;* &quot;-&quot;??_);_(@_)"/>
    <numFmt numFmtId="40384" formatCode="_(* #,##0_);_(* \(#,##0\);_(* &quot;-&quot;??_);_(@_)"/>
    <numFmt numFmtId="40389" formatCode="0.0%"/>
    <numFmt numFmtId="40393" formatCode="&quot;$&quot;#,##0.00_);[Red]\(&quot;$&quot;#,##0.00\)"/>
    <numFmt numFmtId="40394" formatCode="_(* #,##0_);_(* \(#,##0\);_(* &quot;-&quot;_);_(@_)"/>
    <numFmt numFmtId="40398" formatCode="_(&quot;$&quot;* #,##0_);_(&quot;$&quot;* \(#,##0\);_(&quot;$&quot;* &quot;-&quot;_);_(@_)"/>
    <numFmt numFmtId="40412" formatCode="0_);[Red]\(0\)"/>
    <numFmt numFmtId="40422" formatCode="_(&quot;$&quot;* #,##0_);_(&quot;$&quot;* \(#,##0\);_(&quot;$&quot;* &quot;-&quot;??_);_(@_)"/>
    <numFmt numFmtId="40468" formatCode="&quot;$&quot;#,##0_);[Red]\(&quot;$&quot;#,##0\)"/>
    <numFmt numFmtId="40487" formatCode="0.0"/>
    <numFmt numFmtId="40550" formatCode="&quot;$&quot;#,##0.00"/>
    <numFmt numFmtId="40654" formatCode="_([$$-409]* #,##0_);_([$$-409]* (#,##0);_([$$-409]* &quot;-&quot;_);_(@_)"/>
  </numFmts>
  <fonts count="53">
    <font>
      <b val="0"/>
      <i val="0"/>
      <sz val="11"/>
      <color theme="1"/>
      <name val="Calibri"/>
      <scheme val="minor"/>
    </font>
    <font>
      <b/>
      <i val="0"/>
      <sz val="11"/>
      <color auto="1"/>
      <name val="Gill Sans MT"/>
    </font>
    <font>
      <b val="0"/>
      <i val="0"/>
      <sz val="11"/>
      <color rgb="FF000000"/>
      <name val="Calibri"/>
    </font>
    <font>
      <b/>
      <i val="0"/>
      <sz val="9"/>
      <color auto="1"/>
      <name val="Gill Sans MT"/>
    </font>
    <font>
      <b val="0"/>
      <i val="0"/>
      <u/>
      <sz val="11"/>
      <color theme="10"/>
      <name val="Calibri"/>
      <scheme val="minor"/>
    </font>
    <font>
      <b val="0"/>
      <i val="0"/>
      <sz val="11"/>
      <color auto="1"/>
      <name val="Gill Sans MT"/>
    </font>
    <font>
      <b val="0"/>
      <i val="0"/>
      <sz val="11"/>
      <color auto="1"/>
      <name val="Arial"/>
    </font>
    <font>
      <b/>
      <i val="0"/>
      <sz val="18"/>
      <color auto="1"/>
      <name val="Arial"/>
    </font>
    <font>
      <b val="0"/>
      <i val="0"/>
      <sz val="11"/>
      <color rgb="FF000000"/>
      <name val="Gill Sans MT"/>
    </font>
    <font>
      <b/>
      <i val="0"/>
      <sz val="11"/>
      <color rgb="FF000000"/>
      <name val="Gill Sans MT"/>
    </font>
    <font>
      <b val="0"/>
      <i val="0"/>
      <sz val="9"/>
      <color auto="1"/>
      <name val="Gill Sans MT"/>
    </font>
    <font>
      <b/>
      <i val="0"/>
      <sz val="9"/>
      <color rgb="FFDD0806"/>
      <name val="Gill Sans MT"/>
    </font>
    <font>
      <b/>
      <i val="0"/>
      <sz val="9"/>
      <color auto="1"/>
      <name val="Arial"/>
    </font>
    <font>
      <b val="0"/>
      <i val="0"/>
      <sz val="9"/>
      <color auto="1"/>
      <name val="Arial"/>
    </font>
    <font>
      <b val="0"/>
      <i val="0"/>
      <sz val="9"/>
      <color rgb="FF000000"/>
      <name val="Gill Sans MT"/>
    </font>
    <font>
      <b/>
      <i val="0"/>
      <sz val="9"/>
      <color rgb="FF339966"/>
      <name val="Gill Sans MT"/>
    </font>
    <font>
      <b val="0"/>
      <i val="0"/>
      <sz val="9"/>
      <color rgb="FFFFFFFF"/>
      <name val="Gill Sans MT"/>
    </font>
    <font>
      <b/>
      <i val="0"/>
      <sz val="9"/>
      <color rgb="FF000000"/>
      <name val="Gill Sans MT"/>
    </font>
    <font>
      <b val="0"/>
      <i val="0"/>
      <sz val="9"/>
      <color theme="1"/>
      <name val="Gill Sans MT"/>
    </font>
    <font>
      <b/>
      <i val="0"/>
      <sz val="9"/>
      <color rgb="FFFFFFFF"/>
      <name val="Gill Sans MT"/>
    </font>
    <font>
      <b/>
      <i/>
      <sz val="9"/>
      <color rgb="FF000000"/>
      <name val="Gill Sans MT"/>
    </font>
    <font>
      <b val="0"/>
      <i val="0"/>
      <sz val="9"/>
      <color rgb="FF0066CC"/>
      <name val="Gill Sans MT"/>
    </font>
    <font>
      <b val="0"/>
      <i val="0"/>
      <sz val="9"/>
      <color rgb="FF339966"/>
      <name val="Gill Sans MT"/>
    </font>
    <font>
      <b val="0"/>
      <i val="0"/>
      <sz val="9"/>
      <color auto="1"/>
      <name val="Calibri"/>
      <scheme val="minor"/>
    </font>
    <font>
      <b val="0"/>
      <i val="0"/>
      <sz val="9"/>
      <color rgb="FFDD0806"/>
      <name val="Gill Sans MT"/>
    </font>
    <font>
      <b/>
      <i val="0"/>
      <sz val="9"/>
      <color rgb="FF1FB714"/>
      <name val="Gill Sans MT"/>
    </font>
    <font>
      <b val="0"/>
      <i val="0"/>
      <u/>
      <sz val="9"/>
      <color rgb="FFFFFFFF"/>
      <name val="Gill Sans MT"/>
    </font>
    <font>
      <b val="0"/>
      <i val="0"/>
      <u/>
      <sz val="9"/>
      <color auto="1"/>
      <name val="Calibri"/>
    </font>
    <font>
      <b/>
      <i val="0"/>
      <u/>
      <sz val="9"/>
      <color rgb="FFFFFFFF"/>
      <name val="Gill Sans MT"/>
    </font>
    <font>
      <b/>
      <i val="0"/>
      <sz val="7"/>
      <color auto="1"/>
      <name val="Gill Sans MT"/>
    </font>
    <font>
      <b/>
      <i val="0"/>
      <sz val="11"/>
      <color theme="3"/>
      <name val="Gill Sans MT"/>
    </font>
    <font>
      <b/>
      <i val="0"/>
      <sz val="9"/>
      <color theme="3"/>
      <name val="Gill Sans MT"/>
    </font>
    <font>
      <b/>
      <i val="0"/>
      <sz val="9"/>
      <color rgb="FF44C8F5"/>
      <name val="Gill Sans MT"/>
    </font>
    <font>
      <b val="0"/>
      <i val="0"/>
      <sz val="9"/>
      <color theme="3"/>
      <name val="Gill Sans MT"/>
    </font>
    <font>
      <b val="0"/>
      <i val="0"/>
      <sz val="10"/>
      <color rgb="FF000000"/>
      <name val="Gill Sans MT"/>
    </font>
    <font>
      <b/>
      <i val="0"/>
      <sz val="10"/>
      <color rgb="FF339966"/>
      <name val="Gill Sans MT"/>
    </font>
    <font>
      <b/>
      <i val="0"/>
      <sz val="10"/>
      <color auto="1"/>
      <name val="Gill Sans MT"/>
    </font>
    <font>
      <b/>
      <i val="0"/>
      <sz val="10"/>
      <color rgb="FF000000"/>
      <name val="Gill Sans MT"/>
    </font>
    <font>
      <b val="0"/>
      <i val="0"/>
      <sz val="10"/>
      <color auto="1"/>
      <name val="Gill Sans MT"/>
    </font>
    <font>
      <b/>
      <i val="0"/>
      <sz val="10"/>
      <color theme="3"/>
      <name val="Gill Sans MT"/>
    </font>
    <font>
      <b/>
      <i val="0"/>
      <sz val="10"/>
      <color rgb="FFFFFFFF"/>
      <name val="Gill Sans MT"/>
    </font>
    <font>
      <b/>
      <i val="0"/>
      <sz val="10"/>
      <color rgb="FFDD0806"/>
      <name val="Gill Sans MT"/>
    </font>
    <font>
      <b/>
      <i val="0"/>
      <sz val="10"/>
      <color rgb="FF0000D4"/>
      <name val="Gill Sans MT"/>
    </font>
    <font>
      <b/>
      <i val="0"/>
      <sz val="10"/>
      <color rgb="FFDD0806"/>
      <name val="Arial"/>
    </font>
    <font>
      <b val="0"/>
      <i val="0"/>
      <sz val="11"/>
      <color theme="0"/>
      <name val="Gill Sans MT"/>
    </font>
    <font>
      <b val="0"/>
      <i val="0"/>
      <sz val="10"/>
      <color theme="0"/>
      <name val="Arial"/>
    </font>
    <font>
      <b val="0"/>
      <i val="0"/>
      <sz val="9"/>
      <color theme="0"/>
      <name val="Gill Sans MT"/>
    </font>
    <font>
      <b/>
      <i val="0"/>
      <sz val="9"/>
      <color theme="0"/>
      <name val="Gill Sans MT"/>
    </font>
    <font>
      <b val="0"/>
      <i val="0"/>
      <sz val="11"/>
      <color theme="1"/>
      <name val="Gill Sans MT"/>
    </font>
    <font>
      <b val="0"/>
      <i/>
      <sz val="11"/>
      <color rgb="FF000000"/>
      <name val="Gill Sans MT"/>
    </font>
    <font>
      <b val="0"/>
      <i val="0"/>
      <u/>
      <sz val="10"/>
      <color auto="1"/>
      <name val="Calibri"/>
    </font>
    <font>
      <b val="0"/>
      <i val="0"/>
      <u/>
      <sz val="9"/>
      <color auto="1"/>
      <name val="Gill Sans MT"/>
    </font>
    <font>
      <b/>
      <i val="0"/>
      <sz val="9"/>
      <color rgb="FFFFFFFF"/>
      <name val="sans-serif"/>
    </font>
  </fonts>
  <fills count="13">
    <fill>
      <patternFill patternType="none"/>
    </fill>
    <fill>
      <patternFill patternType="gray125"/>
    </fill>
    <fill>
      <patternFill patternType="solid">
        <fgColor theme="9"/>
      </patternFill>
    </fill>
    <fill>
      <patternFill patternType="solid">
        <fgColor rgb="FF8ACC9E"/>
      </patternFill>
    </fill>
    <fill>
      <patternFill patternType="solid">
        <fgColor theme="4"/>
      </patternFill>
    </fill>
    <fill>
      <patternFill patternType="solid">
        <fgColor rgb="FF008080"/>
      </patternFill>
    </fill>
    <fill>
      <patternFill patternType="solid">
        <fgColor rgb="FFFFC95B"/>
      </patternFill>
    </fill>
    <fill>
      <patternFill patternType="solid">
        <fgColor rgb="FFFFFFFF"/>
      </patternFill>
    </fill>
    <fill>
      <patternFill patternType="solid">
        <fgColor rgb="FFFFFF99"/>
      </patternFill>
    </fill>
    <fill>
      <patternFill patternType="solid">
        <fgColor theme="0"/>
      </patternFill>
    </fill>
    <fill>
      <patternFill patternType="solid">
        <fgColor rgb="FFFFFF00"/>
      </patternFill>
    </fill>
    <fill>
      <patternFill patternType="solid">
        <fgColor rgb="FF44C8F5"/>
      </patternFill>
    </fill>
    <fill>
      <patternFill patternType="solid">
        <fgColor rgb="FF4472C4"/>
      </patternFill>
    </fill>
  </fills>
  <borders count="27">
    <border>
      <left/>
      <right/>
      <top/>
      <bottom/>
    </border>
    <border>
      <left/>
      <right/>
      <top/>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ck">
        <color theme="3"/>
      </bottom>
      <diagonal/>
    </border>
    <border>
      <left style="thin">
        <color rgb="FF000000"/>
      </left>
      <right/>
      <top style="thin">
        <color rgb="FF000000"/>
      </top>
      <bottom style="thick">
        <color theme="3"/>
      </bottom>
      <diagonal/>
    </border>
    <border>
      <left style="thin">
        <color rgb="FF000000"/>
      </left>
      <right/>
      <top style="thin">
        <color rgb="FF000000"/>
      </top>
      <bottom style="thick">
        <color rgb="FF0070C0"/>
      </bottom>
      <diagonal/>
    </border>
    <border>
      <left style="thin">
        <color rgb="FF000000"/>
      </left>
      <right style="thin">
        <color rgb="FF000000"/>
      </right>
      <top style="thin">
        <color rgb="FF000000"/>
      </top>
      <bottom style="thick">
        <color rgb="FF0070C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ck">
        <color theme="3"/>
      </bottom>
      <diagonal/>
    </border>
    <border>
      <left/>
      <right style="medium">
        <color rgb="FF000000"/>
      </right>
      <top style="thin">
        <color rgb="FF000000"/>
      </top>
      <bottom style="thick">
        <color them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3">
    <xf numFmtId="0" fontId="0" fillId="0" borderId="1"/>
    <xf numFmtId="1" fontId="1" fillId="2" borderId="2" applyAlignment="0" applyProtection="0"/>
    <xf numFmtId="40380" fontId="2" fillId="0" borderId="1" applyFont="0" applyFill="0" applyBorder="0" applyAlignment="0" applyProtection="0"/>
    <xf numFmtId="40380" fontId="0" fillId="0" borderId="1" applyFont="0" applyFill="0" applyBorder="0" applyAlignment="0" applyProtection="0"/>
    <xf numFmtId="40382" fontId="2" fillId="0" borderId="1" applyFont="0" applyFill="0" applyBorder="0" applyAlignment="0" applyProtection="0"/>
    <xf numFmtId="40382" fontId="0" fillId="0" borderId="1" applyFont="0" applyFill="0" applyBorder="0" applyAlignment="0" applyProtection="0"/>
    <xf numFmtId="49" fontId="3" fillId="3" borderId="3" applyProtection="0">
      <alignment horizontal="general" vertical="bottom" wrapText="1"/>
    </xf>
    <xf numFmtId="0" fontId="4" fillId="0" borderId="1" applyFill="0" applyBorder="0" applyNumberFormat="0" applyAlignment="0" applyProtection="0"/>
    <xf numFmtId="1" fontId="5" fillId="4" borderId="2" applyAlignment="0" applyProtection="0"/>
    <xf numFmtId="0" fontId="6" fillId="5" borderId="1"/>
    <xf numFmtId="9" fontId="2" fillId="0" borderId="1" applyFont="0" applyFill="0" applyBorder="0" applyAlignment="0" applyProtection="0"/>
    <xf numFmtId="9" fontId="0" fillId="0" borderId="1" applyFont="0" applyFill="0" applyBorder="0" applyAlignment="0" applyProtection="0"/>
    <xf numFmtId="0" fontId="7" fillId="5" borderId="1"/>
  </cellStyleXfs>
  <cellXfs count="506">
    <xf numFmtId="0" fontId="0" fillId="0" borderId="1" xfId="0"/>
    <xf numFmtId="0" fontId="49" fillId="0" borderId="1" xfId="0"/>
    <xf numFmtId="0" fontId="5" fillId="0" borderId="1" xfId="0"/>
    <xf numFmtId="0" fontId="9" fillId="0" borderId="1" xfId="0">
      <alignment horizontal="left" vertical="center"/>
    </xf>
    <xf numFmtId="0" fontId="8" fillId="0" borderId="1" xfId="9"/>
    <xf numFmtId="0" fontId="8" fillId="0" borderId="1" xfId="0">
      <alignment horizontal="right" vertical="bottom"/>
    </xf>
    <xf numFmtId="49" fontId="30" fillId="9" borderId="12" xfId="6">
      <alignment horizontal="center" vertical="bottom" wrapText="1"/>
    </xf>
    <xf numFmtId="0" fontId="1" fillId="6" borderId="8" xfId="0">
      <alignment horizontal="center" vertical="bottom"/>
      <protection locked="0"/>
    </xf>
    <xf numFmtId="0" fontId="0" fillId="0" borderId="1" xfId="0"/>
    <xf numFmtId="0" fontId="48" fillId="0" borderId="1" xfId="0"/>
    <xf numFmtId="0" fontId="44" fillId="0" borderId="1" xfId="0"/>
    <xf numFmtId="0" fontId="44" fillId="0" borderId="1" xfId="0">
      <protection hidden="1"/>
    </xf>
    <xf numFmtId="0" fontId="45" fillId="0" borderId="1" xfId="0">
      <alignment vertical="center" wrapText="1"/>
      <protection hidden="1"/>
    </xf>
    <xf numFmtId="0" fontId="9" fillId="0" borderId="1" xfId="0"/>
    <xf numFmtId="0" fontId="8" fillId="0" borderId="1" xfId="0"/>
    <xf numFmtId="0" fontId="36" fillId="0" borderId="1" xfId="0">
      <alignment horizontal="left" vertical="center"/>
    </xf>
    <xf numFmtId="0" fontId="35" fillId="0" borderId="1" xfId="0">
      <alignment horizontal="left" vertical="center"/>
    </xf>
    <xf numFmtId="0" fontId="36" fillId="0" borderId="1" xfId="0"/>
    <xf numFmtId="0" fontId="37" fillId="0" borderId="1" xfId="0"/>
    <xf numFmtId="0" fontId="38" fillId="0" borderId="1" xfId="0"/>
    <xf numFmtId="0" fontId="34" fillId="0" borderId="1" xfId="0"/>
    <xf numFmtId="49" fontId="39" fillId="9" borderId="12" xfId="6">
      <alignment horizontal="center" vertical="bottom" wrapText="1"/>
    </xf>
    <xf numFmtId="0" fontId="40" fillId="0" borderId="11" xfId="0">
      <alignment vertical="center"/>
    </xf>
    <xf numFmtId="0" fontId="36" fillId="0" borderId="10" xfId="0"/>
    <xf numFmtId="0" fontId="38" fillId="0" borderId="8" xfId="0"/>
    <xf numFmtId="0" fontId="38" fillId="0" borderId="10" xfId="0">
      <alignment horizontal="center" vertical="bottom"/>
      <protection locked="0"/>
    </xf>
    <xf numFmtId="0" fontId="38" fillId="0" borderId="18" xfId="0">
      <alignment horizontal="center" vertical="bottom"/>
      <protection locked="0"/>
    </xf>
    <xf numFmtId="0" fontId="38" fillId="0" borderId="11" xfId="0">
      <protection locked="0"/>
    </xf>
    <xf numFmtId="0" fontId="36" fillId="0" borderId="3" xfId="0">
      <alignment horizontal="left" vertical="bottom"/>
    </xf>
    <xf numFmtId="40394" fontId="38" fillId="6" borderId="10" xfId="4">
      <protection locked="0"/>
    </xf>
    <xf numFmtId="40394" fontId="38" fillId="0" borderId="3" xfId="4">
      <alignment horizontal="right" vertical="bottom"/>
      <protection locked="0"/>
    </xf>
    <xf numFmtId="0" fontId="38" fillId="0" borderId="4" xfId="0">
      <alignment horizontal="center" vertical="bottom"/>
      <protection locked="0"/>
    </xf>
    <xf numFmtId="0" fontId="38" fillId="0" borderId="7" xfId="0">
      <alignment horizontal="center" vertical="bottom"/>
      <protection locked="0"/>
    </xf>
    <xf numFmtId="40394" fontId="38" fillId="6" borderId="4" xfId="2">
      <protection locked="0"/>
    </xf>
    <xf numFmtId="40394" fontId="38" fillId="6" borderId="3" xfId="2">
      <protection locked="0"/>
    </xf>
    <xf numFmtId="40380" fontId="38" fillId="0" borderId="4" xfId="2">
      <alignment horizontal="center" vertical="bottom"/>
      <protection locked="0"/>
    </xf>
    <xf numFmtId="40380" fontId="38" fillId="0" borderId="7" xfId="2">
      <alignment horizontal="center" vertical="bottom"/>
      <protection locked="0"/>
    </xf>
    <xf numFmtId="40380" fontId="38" fillId="0" borderId="11" xfId="2">
      <protection locked="0"/>
    </xf>
    <xf numFmtId="0" fontId="36" fillId="0" borderId="3" xfId="0"/>
    <xf numFmtId="40398" fontId="38" fillId="0" borderId="3" xfId="2"/>
    <xf numFmtId="40398" fontId="38" fillId="0" borderId="6" xfId="2"/>
    <xf numFmtId="40380" fontId="38" fillId="0" borderId="16" xfId="2">
      <alignment horizontal="center" vertical="bottom"/>
      <protection locked="0"/>
    </xf>
    <xf numFmtId="0" fontId="36" fillId="0" borderId="4" xfId="0">
      <alignment horizontal="center" vertical="bottom"/>
    </xf>
    <xf numFmtId="0" fontId="36" fillId="0" borderId="6" xfId="0">
      <alignment horizontal="center" vertical="bottom"/>
    </xf>
    <xf numFmtId="0" fontId="36" fillId="0" borderId="7" xfId="0">
      <alignment horizontal="center" vertical="bottom"/>
    </xf>
    <xf numFmtId="0" fontId="34" fillId="0" borderId="11" xfId="0"/>
    <xf numFmtId="0" fontId="39" fillId="0" borderId="14" xfId="0">
      <alignment horizontal="center" vertical="bottom"/>
    </xf>
    <xf numFmtId="40384" fontId="39" fillId="0" borderId="15" xfId="2">
      <alignment horizontal="center" vertical="bottom"/>
    </xf>
    <xf numFmtId="0" fontId="39" fillId="0" borderId="13" xfId="0">
      <alignment horizontal="center" vertical="bottom"/>
      <protection locked="0"/>
    </xf>
    <xf numFmtId="0" fontId="39" fillId="0" borderId="19" xfId="0">
      <alignment horizontal="center" vertical="bottom"/>
      <protection locked="0"/>
    </xf>
    <xf numFmtId="0" fontId="39" fillId="0" borderId="20" xfId="0">
      <alignment horizontal="center" vertical="bottom"/>
      <protection locked="0"/>
    </xf>
    <xf numFmtId="0" fontId="36" fillId="0" borderId="8" xfId="0"/>
    <xf numFmtId="40394" fontId="38" fillId="6" borderId="10" xfId="2">
      <protection locked="0"/>
    </xf>
    <xf numFmtId="0" fontId="38" fillId="0" borderId="21" xfId="0">
      <alignment horizontal="center" vertical="bottom"/>
      <protection locked="0"/>
    </xf>
    <xf numFmtId="0" fontId="38" fillId="0" borderId="22" xfId="0">
      <alignment horizontal="center" vertical="bottom"/>
      <protection locked="0"/>
    </xf>
    <xf numFmtId="0" fontId="38" fillId="0" borderId="23" xfId="0">
      <alignment horizontal="center" vertical="bottom"/>
      <protection locked="0"/>
    </xf>
    <xf numFmtId="0" fontId="38" fillId="0" borderId="16" xfId="0">
      <alignment horizontal="center" vertical="bottom"/>
      <protection locked="0"/>
    </xf>
    <xf numFmtId="0" fontId="38" fillId="0" borderId="6" xfId="0">
      <alignment horizontal="center" vertical="bottom"/>
      <protection locked="0"/>
    </xf>
    <xf numFmtId="0" fontId="38" fillId="0" borderId="17" xfId="0">
      <alignment horizontal="center" vertical="bottom"/>
      <protection locked="0"/>
    </xf>
    <xf numFmtId="0" fontId="41" fillId="0" borderId="1" xfId="0">
      <alignment vertical="bottom" wrapText="1"/>
    </xf>
    <xf numFmtId="0" fontId="36" fillId="0" borderId="4" xfId="0"/>
    <xf numFmtId="40398" fontId="38" fillId="0" borderId="4" xfId="0"/>
    <xf numFmtId="40398" fontId="36" fillId="0" borderId="4" xfId="0"/>
    <xf numFmtId="0" fontId="38" fillId="0" borderId="24" xfId="0">
      <alignment horizontal="center" vertical="bottom"/>
      <protection locked="0"/>
    </xf>
    <xf numFmtId="0" fontId="38" fillId="0" borderId="25" xfId="0">
      <alignment horizontal="center" vertical="bottom"/>
      <protection locked="0"/>
    </xf>
    <xf numFmtId="0" fontId="38" fillId="0" borderId="26" xfId="0">
      <alignment horizontal="center" vertical="bottom"/>
      <protection locked="0"/>
    </xf>
    <xf numFmtId="40422" fontId="38" fillId="0" borderId="1" xfId="0"/>
    <xf numFmtId="0" fontId="38" fillId="0" borderId="1" xfId="0">
      <protection locked="0"/>
    </xf>
    <xf numFmtId="10" fontId="38" fillId="0" borderId="8" xfId="10"/>
    <xf numFmtId="0" fontId="36" fillId="0" borderId="8" xfId="0">
      <alignment horizontal="right" vertical="bottom"/>
    </xf>
    <xf numFmtId="0" fontId="34" fillId="0" borderId="8" xfId="0"/>
    <xf numFmtId="10" fontId="38" fillId="0" borderId="3" xfId="10"/>
    <xf numFmtId="0" fontId="38" fillId="0" borderId="3" xfId="0"/>
    <xf numFmtId="0" fontId="34" fillId="0" borderId="3" xfId="0"/>
    <xf numFmtId="0" fontId="36" fillId="0" borderId="3" xfId="0">
      <alignment horizontal="left" vertical="bottom" indent="1"/>
    </xf>
    <xf numFmtId="10" fontId="38" fillId="6" borderId="3" xfId="10">
      <protection locked="0"/>
    </xf>
    <xf numFmtId="38" fontId="38" fillId="6" borderId="3" xfId="2">
      <protection locked="0"/>
    </xf>
    <xf numFmtId="40394" fontId="38" fillId="0" borderId="3" xfId="0"/>
    <xf numFmtId="0" fontId="50" fillId="11" borderId="1" xfId="7">
      <alignment horizontal="center" vertical="center" wrapText="1"/>
    </xf>
    <xf numFmtId="0" fontId="34" fillId="0" borderId="5" xfId="0"/>
    <xf numFmtId="40398" fontId="36" fillId="0" borderId="3" xfId="0"/>
    <xf numFmtId="0" fontId="39" fillId="0" borderId="4" xfId="0">
      <alignment horizontal="center" vertical="bottom"/>
    </xf>
    <xf numFmtId="0" fontId="39" fillId="0" borderId="7" xfId="0">
      <alignment horizontal="center" vertical="bottom"/>
    </xf>
    <xf numFmtId="0" fontId="42" fillId="0" borderId="1" xfId="0"/>
    <xf numFmtId="49" fontId="39" fillId="9" borderId="12" xfId="6">
      <alignment vertical="bottom" wrapText="1"/>
    </xf>
    <xf numFmtId="40394" fontId="38" fillId="0" borderId="8" xfId="0"/>
    <xf numFmtId="0" fontId="41" fillId="0" borderId="1" xfId="0"/>
    <xf numFmtId="0" fontId="38" fillId="0" borderId="3" xfId="0" quotePrefix="1"/>
    <xf numFmtId="0" fontId="43" fillId="0" borderId="1" xfId="0"/>
    <xf numFmtId="0" fontId="3" fillId="0" borderId="1" xfId="0"/>
    <xf numFmtId="0" fontId="3" fillId="0" borderId="1" xfId="0">
      <alignment horizontal="left" vertical="bottom"/>
    </xf>
    <xf numFmtId="0" fontId="15" fillId="0" borderId="1" xfId="0">
      <alignment vertical="center"/>
    </xf>
    <xf numFmtId="0" fontId="15" fillId="0" borderId="1" xfId="0">
      <alignment horizontal="left" vertical="bottom"/>
    </xf>
    <xf numFmtId="0" fontId="3" fillId="0" borderId="1" xfId="0">
      <alignment vertical="center"/>
    </xf>
    <xf numFmtId="0" fontId="10" fillId="0" borderId="1" xfId="0"/>
    <xf numFmtId="0" fontId="14" fillId="0" borderId="1" xfId="0"/>
    <xf numFmtId="49" fontId="31" fillId="9" borderId="12" xfId="6">
      <alignment vertical="bottom" wrapText="1"/>
    </xf>
    <xf numFmtId="0" fontId="31" fillId="9" borderId="12" xfId="6">
      <alignment vertical="bottom" wrapText="1"/>
    </xf>
    <xf numFmtId="0" fontId="10" fillId="0" borderId="8" xfId="0"/>
    <xf numFmtId="0" fontId="10" fillId="6" borderId="8" xfId="0">
      <protection locked="0"/>
    </xf>
    <xf numFmtId="0" fontId="10" fillId="6" borderId="8" xfId="4">
      <protection locked="0"/>
    </xf>
    <xf numFmtId="0" fontId="10" fillId="6" borderId="8" xfId="2">
      <protection locked="0"/>
    </xf>
    <xf numFmtId="40398" fontId="10" fillId="0" borderId="8" xfId="0"/>
    <xf numFmtId="40654" fontId="10" fillId="6" borderId="8" xfId="4">
      <protection locked="0"/>
    </xf>
    <xf numFmtId="40398" fontId="10" fillId="0" borderId="8" xfId="4"/>
    <xf numFmtId="0" fontId="10" fillId="0" borderId="3" xfId="0"/>
    <xf numFmtId="0" fontId="10" fillId="6" borderId="3" xfId="0">
      <protection locked="0"/>
    </xf>
    <xf numFmtId="0" fontId="10" fillId="6" borderId="3" xfId="4">
      <protection locked="0"/>
    </xf>
    <xf numFmtId="0" fontId="10" fillId="6" borderId="3" xfId="2">
      <protection locked="0"/>
    </xf>
    <xf numFmtId="40398" fontId="10" fillId="0" borderId="3" xfId="0"/>
    <xf numFmtId="40394" fontId="10" fillId="6" borderId="3" xfId="4">
      <protection locked="0"/>
    </xf>
    <xf numFmtId="40398" fontId="10" fillId="0" borderId="3" xfId="4"/>
    <xf numFmtId="2" fontId="10" fillId="6" borderId="3" xfId="4">
      <protection locked="0"/>
    </xf>
    <xf numFmtId="37" fontId="10" fillId="6" borderId="3" xfId="2">
      <protection locked="0"/>
    </xf>
    <xf numFmtId="0" fontId="3" fillId="0" borderId="3" xfId="0"/>
    <xf numFmtId="40412" fontId="3" fillId="0" borderId="3" xfId="0"/>
    <xf numFmtId="40382" fontId="10" fillId="0" borderId="3" xfId="4">
      <alignment horizontal="center" vertical="bottom"/>
    </xf>
    <xf numFmtId="37" fontId="10" fillId="0" borderId="3" xfId="0"/>
    <xf numFmtId="0" fontId="3" fillId="7" borderId="3" xfId="0"/>
    <xf numFmtId="0" fontId="10" fillId="7" borderId="3" xfId="0">
      <alignment horizontal="center" vertical="bottom"/>
    </xf>
    <xf numFmtId="0" fontId="10" fillId="7" borderId="3" xfId="0"/>
    <xf numFmtId="0" fontId="14" fillId="7" borderId="3" xfId="0"/>
    <xf numFmtId="40382" fontId="10" fillId="7" borderId="3" xfId="4"/>
    <xf numFmtId="10" fontId="10" fillId="6" borderId="8" xfId="10">
      <protection locked="0"/>
    </xf>
    <xf numFmtId="10" fontId="10" fillId="0" borderId="8" xfId="10">
      <protection locked="0"/>
    </xf>
    <xf numFmtId="40398" fontId="10" fillId="0" borderId="8" xfId="10"/>
    <xf numFmtId="40394" fontId="10" fillId="6" borderId="8" xfId="4">
      <protection locked="0"/>
    </xf>
    <xf numFmtId="0" fontId="10" fillId="0" borderId="3" xfId="0" quotePrefix="1">
      <alignment horizontal="right" vertical="bottom"/>
    </xf>
    <xf numFmtId="10" fontId="10" fillId="6" borderId="3" xfId="10">
      <protection locked="0"/>
    </xf>
    <xf numFmtId="10" fontId="10" fillId="0" borderId="3" xfId="10">
      <protection locked="0"/>
    </xf>
    <xf numFmtId="40398" fontId="10" fillId="0" borderId="3" xfId="10"/>
    <xf numFmtId="40398" fontId="10" fillId="0" borderId="3" xfId="0">
      <alignment horizontal="right" vertical="bottom"/>
    </xf>
    <xf numFmtId="10" fontId="10" fillId="0" borderId="3" xfId="0">
      <protection locked="0"/>
    </xf>
    <xf numFmtId="10" fontId="10" fillId="0" borderId="3" xfId="0">
      <alignment horizontal="center" vertical="bottom"/>
    </xf>
    <xf numFmtId="0" fontId="10" fillId="0" borderId="3" xfId="0">
      <alignment horizontal="center" vertical="bottom"/>
    </xf>
    <xf numFmtId="40398" fontId="3" fillId="0" borderId="3" xfId="0"/>
    <xf numFmtId="0" fontId="16" fillId="0" borderId="1" xfId="0"/>
    <xf numFmtId="0" fontId="17" fillId="0" borderId="1" xfId="0"/>
    <xf numFmtId="9" fontId="14" fillId="0" borderId="1" xfId="0">
      <alignment horizontal="center" vertical="center"/>
      <protection locked="0"/>
    </xf>
    <xf numFmtId="40398" fontId="14" fillId="0" borderId="1" xfId="0"/>
    <xf numFmtId="0" fontId="19" fillId="0" borderId="1" xfId="0">
      <alignment horizontal="center" vertical="center"/>
    </xf>
    <xf numFmtId="0" fontId="10" fillId="0" borderId="1" xfId="0">
      <alignment vertical="center"/>
    </xf>
    <xf numFmtId="0" fontId="10" fillId="0" borderId="1" xfId="0">
      <alignment horizontal="left" vertical="bottom"/>
    </xf>
    <xf numFmtId="40394" fontId="10" fillId="0" borderId="1" xfId="4">
      <protection locked="0"/>
    </xf>
    <xf numFmtId="40398" fontId="16" fillId="0" borderId="1" xfId="4"/>
    <xf numFmtId="0" fontId="19" fillId="0" borderId="1" xfId="0"/>
    <xf numFmtId="40394" fontId="10" fillId="0" borderId="8" xfId="4"/>
    <xf numFmtId="40389" fontId="10" fillId="6" borderId="8" xfId="0">
      <protection locked="0"/>
    </xf>
    <xf numFmtId="40394" fontId="10" fillId="0" borderId="8" xfId="2"/>
    <xf numFmtId="40394" fontId="10" fillId="0" borderId="3" xfId="4"/>
    <xf numFmtId="40389" fontId="10" fillId="6" borderId="3" xfId="0">
      <protection locked="0"/>
    </xf>
    <xf numFmtId="40394" fontId="10" fillId="0" borderId="3" xfId="2"/>
    <xf numFmtId="40382" fontId="10" fillId="0" borderId="1" xfId="4"/>
    <xf numFmtId="40389" fontId="10" fillId="0" borderId="3" xfId="0">
      <protection locked="0"/>
    </xf>
    <xf numFmtId="40398" fontId="10" fillId="0" borderId="3" xfId="2"/>
    <xf numFmtId="40382" fontId="10" fillId="0" borderId="3" xfId="4"/>
    <xf numFmtId="49" fontId="31" fillId="9" borderId="12" xfId="6">
      <alignment vertical="bottom" wrapText="1"/>
      <protection locked="0"/>
    </xf>
    <xf numFmtId="40422" fontId="16" fillId="0" borderId="1" xfId="0"/>
    <xf numFmtId="40398" fontId="16" fillId="0" borderId="1" xfId="0"/>
    <xf numFmtId="40382" fontId="16" fillId="0" borderId="1" xfId="0"/>
    <xf numFmtId="40382" fontId="19" fillId="0" borderId="1" xfId="0"/>
    <xf numFmtId="40398" fontId="3" fillId="0" borderId="3" xfId="2"/>
    <xf numFmtId="40389" fontId="10" fillId="0" borderId="1" xfId="0"/>
    <xf numFmtId="40394" fontId="10" fillId="0" borderId="1" xfId="2"/>
    <xf numFmtId="0" fontId="19" fillId="0" borderId="1" xfId="0">
      <alignment horizontal="center" vertical="center" wrapText="1"/>
    </xf>
    <xf numFmtId="40412" fontId="10" fillId="0" borderId="1" xfId="0">
      <protection locked="0"/>
    </xf>
    <xf numFmtId="40398" fontId="16" fillId="0" borderId="1" xfId="4">
      <alignment horizontal="center" vertical="bottom"/>
    </xf>
    <xf numFmtId="0" fontId="10" fillId="0" borderId="1" xfId="0">
      <alignment horizontal="center" vertical="bottom"/>
    </xf>
    <xf numFmtId="0" fontId="19" fillId="0" borderId="1" xfId="0">
      <alignment horizontal="center" vertical="bottom" wrapText="1"/>
    </xf>
    <xf numFmtId="10" fontId="10" fillId="0" borderId="1" xfId="10">
      <protection locked="0"/>
    </xf>
    <xf numFmtId="10" fontId="16" fillId="0" borderId="1" xfId="0">
      <alignment horizontal="center" vertical="bottom"/>
    </xf>
    <xf numFmtId="0" fontId="16" fillId="0" borderId="1" xfId="0">
      <alignment horizontal="center" vertical="bottom"/>
    </xf>
    <xf numFmtId="0" fontId="18" fillId="0" borderId="1" xfId="0"/>
    <xf numFmtId="0" fontId="3" fillId="0" borderId="1" xfId="0">
      <alignment horizontal="left" vertical="center"/>
    </xf>
    <xf numFmtId="9" fontId="15" fillId="10" borderId="1" xfId="10">
      <alignment vertical="center"/>
      <protection locked="0"/>
    </xf>
    <xf numFmtId="0" fontId="14" fillId="0" borderId="1" xfId="0">
      <protection locked="0"/>
    </xf>
    <xf numFmtId="0" fontId="31" fillId="0" borderId="12" xfId="0">
      <alignment horizontal="left" vertical="bottom"/>
    </xf>
    <xf numFmtId="0" fontId="3" fillId="0" borderId="8" xfId="0">
      <alignment horizontal="center" vertical="center" wrapText="1"/>
    </xf>
    <xf numFmtId="0" fontId="3" fillId="0" borderId="8" xfId="0">
      <alignment horizontal="center" vertical="bottom" wrapText="1"/>
    </xf>
    <xf numFmtId="0" fontId="32" fillId="0" borderId="8" xfId="7">
      <alignment horizontal="center" vertical="center" wrapText="1"/>
    </xf>
    <xf numFmtId="0" fontId="3" fillId="0" borderId="3" xfId="0">
      <alignment horizontal="center" vertical="bottom" wrapText="1"/>
    </xf>
    <xf numFmtId="0" fontId="28" fillId="0" borderId="1" xfId="0">
      <alignment horizontal="center" vertical="bottom"/>
    </xf>
    <xf numFmtId="0" fontId="27" fillId="0" borderId="1" xfId="7">
      <alignment vertical="center"/>
    </xf>
    <xf numFmtId="0" fontId="10" fillId="6" borderId="3" xfId="0">
      <alignment horizontal="right" vertical="center"/>
      <protection locked="0"/>
    </xf>
    <xf numFmtId="40654" fontId="10" fillId="6" borderId="3" xfId="0">
      <alignment horizontal="right" vertical="center"/>
      <protection locked="0"/>
    </xf>
    <xf numFmtId="40654" fontId="14" fillId="6" borderId="3" xfId="0">
      <protection locked="0"/>
    </xf>
    <xf numFmtId="40382" fontId="3" fillId="0" borderId="3" xfId="0"/>
    <xf numFmtId="9" fontId="16" fillId="0" borderId="1" xfId="0"/>
    <xf numFmtId="40382" fontId="10" fillId="6" borderId="3" xfId="0">
      <alignment horizontal="right" vertical="center"/>
      <protection locked="0"/>
    </xf>
    <xf numFmtId="40382" fontId="14" fillId="6" borderId="3" xfId="0">
      <protection locked="0"/>
    </xf>
    <xf numFmtId="0" fontId="14" fillId="6" borderId="3" xfId="0">
      <protection locked="0"/>
    </xf>
    <xf numFmtId="0" fontId="20" fillId="0" borderId="1" xfId="0">
      <alignment horizontal="center" vertical="center"/>
    </xf>
    <xf numFmtId="0" fontId="17" fillId="0" borderId="8" xfId="0">
      <alignment horizontal="right" vertical="center"/>
    </xf>
    <xf numFmtId="40384" fontId="14" fillId="0" borderId="8" xfId="2">
      <alignment horizontal="right" vertical="center"/>
      <protection locked="0"/>
    </xf>
    <xf numFmtId="0" fontId="3" fillId="0" borderId="8" xfId="0">
      <alignment horizontal="right" vertical="center"/>
    </xf>
    <xf numFmtId="0" fontId="14" fillId="0" borderId="3" xfId="0">
      <alignment horizontal="right" vertical="center"/>
    </xf>
    <xf numFmtId="0" fontId="14" fillId="6" borderId="3" xfId="2">
      <alignment horizontal="right" vertical="center"/>
      <protection locked="0"/>
    </xf>
    <xf numFmtId="37" fontId="3" fillId="0" borderId="5" xfId="0">
      <alignment horizontal="right" vertical="center"/>
    </xf>
    <xf numFmtId="40389" fontId="3" fillId="0" borderId="3" xfId="0">
      <alignment horizontal="right" vertical="center"/>
    </xf>
    <xf numFmtId="0" fontId="14" fillId="0" borderId="5" xfId="0" quotePrefix="1">
      <alignment horizontal="right" vertical="center"/>
    </xf>
    <xf numFmtId="40394" fontId="14" fillId="7" borderId="5" xfId="2">
      <alignment horizontal="right" vertical="center"/>
    </xf>
    <xf numFmtId="40398" fontId="3" fillId="0" borderId="5" xfId="0">
      <alignment horizontal="right" vertical="center"/>
    </xf>
    <xf numFmtId="40389" fontId="3" fillId="0" borderId="3" xfId="0"/>
    <xf numFmtId="0" fontId="14" fillId="0" borderId="3" xfId="0" quotePrefix="1">
      <alignment horizontal="right" vertical="center"/>
    </xf>
    <xf numFmtId="40394" fontId="14" fillId="7" borderId="3" xfId="2">
      <alignment horizontal="right" vertical="center"/>
    </xf>
    <xf numFmtId="0" fontId="14" fillId="7" borderId="4" xfId="0" quotePrefix="1">
      <alignment horizontal="right" vertical="center"/>
    </xf>
    <xf numFmtId="40380" fontId="14" fillId="7" borderId="6" xfId="2">
      <alignment horizontal="right" vertical="center"/>
    </xf>
    <xf numFmtId="40380" fontId="14" fillId="7" borderId="6" xfId="2">
      <alignment horizontal="right" vertical="center"/>
      <protection locked="0"/>
    </xf>
    <xf numFmtId="0" fontId="3" fillId="0" borderId="7" xfId="0">
      <alignment horizontal="right" vertical="center"/>
    </xf>
    <xf numFmtId="9" fontId="3" fillId="0" borderId="3" xfId="0">
      <alignment horizontal="right" vertical="center"/>
    </xf>
    <xf numFmtId="0" fontId="17" fillId="0" borderId="3" xfId="0">
      <alignment horizontal="right" vertical="center"/>
    </xf>
    <xf numFmtId="40380" fontId="14" fillId="7" borderId="8" xfId="2">
      <alignment horizontal="right" vertical="center"/>
      <protection locked="0"/>
    </xf>
    <xf numFmtId="37" fontId="14" fillId="6" borderId="3" xfId="2">
      <alignment horizontal="right" vertical="center"/>
      <protection locked="0"/>
    </xf>
    <xf numFmtId="37" fontId="3" fillId="0" borderId="3" xfId="0">
      <alignment horizontal="right" vertical="center"/>
    </xf>
    <xf numFmtId="0" fontId="10" fillId="0" borderId="3" xfId="0" quotePrefix="1">
      <alignment horizontal="right" vertical="center"/>
    </xf>
    <xf numFmtId="40398" fontId="3" fillId="0" borderId="3" xfId="0">
      <alignment horizontal="right" vertical="center"/>
    </xf>
    <xf numFmtId="40380" fontId="14" fillId="7" borderId="8" xfId="0">
      <alignment horizontal="right" vertical="center"/>
    </xf>
    <xf numFmtId="40394" fontId="10" fillId="7" borderId="3" xfId="2">
      <alignment horizontal="right" vertical="center"/>
    </xf>
    <xf numFmtId="0" fontId="14" fillId="0" borderId="4" xfId="0" quotePrefix="1">
      <alignment horizontal="right" vertical="center"/>
    </xf>
    <xf numFmtId="0" fontId="14" fillId="6" borderId="3" xfId="0">
      <alignment horizontal="right" vertical="center"/>
      <protection locked="0"/>
    </xf>
    <xf numFmtId="40380" fontId="14" fillId="7" borderId="6" xfId="0">
      <alignment horizontal="right" vertical="center"/>
    </xf>
    <xf numFmtId="40384" fontId="3" fillId="0" borderId="5" xfId="0">
      <alignment horizontal="right" vertical="center"/>
    </xf>
    <xf numFmtId="40394" fontId="14" fillId="0" borderId="3" xfId="2">
      <alignment horizontal="right" vertical="center"/>
    </xf>
    <xf numFmtId="40380" fontId="14" fillId="0" borderId="6" xfId="2">
      <alignment horizontal="right" vertical="center"/>
      <protection locked="0"/>
    </xf>
    <xf numFmtId="40380" fontId="14" fillId="0" borderId="8" xfId="2">
      <alignment horizontal="right" vertical="center"/>
      <protection locked="0"/>
    </xf>
    <xf numFmtId="37" fontId="14" fillId="6" borderId="3" xfId="0">
      <alignment horizontal="right" vertical="center"/>
      <protection locked="0"/>
    </xf>
    <xf numFmtId="40394" fontId="10" fillId="0" borderId="3" xfId="2">
      <alignment horizontal="right" vertical="center"/>
    </xf>
    <xf numFmtId="0" fontId="10" fillId="0" borderId="5" xfId="0" quotePrefix="1">
      <alignment horizontal="right" vertical="center"/>
    </xf>
    <xf numFmtId="0" fontId="3" fillId="0" borderId="5" xfId="0" quotePrefix="1">
      <alignment horizontal="right" vertical="center"/>
    </xf>
    <xf numFmtId="37" fontId="3" fillId="0" borderId="5" xfId="2">
      <alignment horizontal="right" vertical="center"/>
    </xf>
    <xf numFmtId="0" fontId="3" fillId="0" borderId="5" xfId="0">
      <alignment horizontal="right" vertical="center"/>
    </xf>
    <xf numFmtId="40398" fontId="3" fillId="0" borderId="5" xfId="0">
      <alignment horizontal="left" vertical="center"/>
    </xf>
    <xf numFmtId="0" fontId="3" fillId="0" borderId="3" xfId="0">
      <alignment horizontal="right" vertical="center"/>
    </xf>
    <xf numFmtId="40398" fontId="3" fillId="0" borderId="3" xfId="2">
      <alignment horizontal="left" vertical="center"/>
    </xf>
    <xf numFmtId="40398" fontId="3" fillId="0" borderId="3" xfId="0">
      <alignment horizontal="left" vertical="center"/>
    </xf>
    <xf numFmtId="0" fontId="11" fillId="0" borderId="1" xfId="0"/>
    <xf numFmtId="0" fontId="20" fillId="0" borderId="1" xfId="0">
      <alignment vertical="center"/>
    </xf>
    <xf numFmtId="0" fontId="3" fillId="0" borderId="1" xfId="0">
      <alignment horizontal="right" vertical="center"/>
    </xf>
    <xf numFmtId="10" fontId="10" fillId="10" borderId="1" xfId="0">
      <alignment horizontal="left" vertical="center"/>
      <protection locked="0"/>
    </xf>
    <xf numFmtId="37" fontId="14" fillId="6" borderId="3" xfId="2">
      <alignment horizontal="right" vertical="center"/>
    </xf>
    <xf numFmtId="40398" fontId="14" fillId="0" borderId="3" xfId="0">
      <alignment horizontal="right" vertical="center"/>
    </xf>
    <xf numFmtId="40394" fontId="14" fillId="6" borderId="3" xfId="2">
      <alignment horizontal="right" vertical="center"/>
    </xf>
    <xf numFmtId="0" fontId="14" fillId="7" borderId="6" xfId="0" quotePrefix="1">
      <alignment horizontal="right" vertical="center"/>
    </xf>
    <xf numFmtId="40398" fontId="10" fillId="0" borderId="5" xfId="0" quotePrefix="1">
      <alignment horizontal="right" vertical="center"/>
    </xf>
    <xf numFmtId="40398" fontId="14" fillId="0" borderId="3" xfId="0" quotePrefix="1">
      <alignment horizontal="right" vertical="center"/>
    </xf>
    <xf numFmtId="40398" fontId="10" fillId="0" borderId="3" xfId="0" quotePrefix="1">
      <alignment horizontal="right" vertical="center"/>
    </xf>
    <xf numFmtId="0" fontId="14" fillId="0" borderId="6" xfId="0" quotePrefix="1">
      <alignment horizontal="right" vertical="center"/>
    </xf>
    <xf numFmtId="37" fontId="14" fillId="6" borderId="3" xfId="0">
      <alignment horizontal="right" vertical="center"/>
    </xf>
    <xf numFmtId="40394" fontId="14" fillId="6" borderId="3" xfId="0">
      <alignment horizontal="right" vertical="center"/>
    </xf>
    <xf numFmtId="40394" fontId="10" fillId="6" borderId="3" xfId="2">
      <alignment horizontal="right" vertical="center"/>
    </xf>
    <xf numFmtId="40398" fontId="14" fillId="0" borderId="5" xfId="0" quotePrefix="1">
      <alignment horizontal="right" vertical="center"/>
    </xf>
    <xf numFmtId="0" fontId="15" fillId="0" borderId="1" xfId="0"/>
    <xf numFmtId="0" fontId="14" fillId="0" borderId="1" xfId="0">
      <alignment horizontal="right" vertical="bottom"/>
    </xf>
    <xf numFmtId="0" fontId="10" fillId="0" borderId="1" xfId="0">
      <alignment horizontal="left" vertical="center"/>
    </xf>
    <xf numFmtId="0" fontId="14" fillId="0" borderId="1" xfId="9"/>
    <xf numFmtId="0" fontId="3" fillId="0" borderId="8" xfId="9"/>
    <xf numFmtId="0" fontId="3" fillId="0" borderId="8" xfId="0">
      <alignment horizontal="center" vertical="bottom"/>
    </xf>
    <xf numFmtId="0" fontId="14" fillId="7" borderId="3" xfId="9"/>
    <xf numFmtId="9" fontId="14" fillId="6" borderId="3" xfId="10">
      <protection locked="0"/>
    </xf>
    <xf numFmtId="9" fontId="14" fillId="0" borderId="3" xfId="10"/>
    <xf numFmtId="0" fontId="17" fillId="0" borderId="3" xfId="0">
      <alignment horizontal="right" vertical="bottom"/>
    </xf>
    <xf numFmtId="9" fontId="17" fillId="0" borderId="3" xfId="0"/>
    <xf numFmtId="0" fontId="14" fillId="0" borderId="3" xfId="0"/>
    <xf numFmtId="0" fontId="10" fillId="0" borderId="10" xfId="0">
      <alignment horizontal="left" vertical="bottom"/>
    </xf>
    <xf numFmtId="0" fontId="10" fillId="0" borderId="18" xfId="0">
      <alignment horizontal="left" vertical="bottom"/>
    </xf>
    <xf numFmtId="0" fontId="14" fillId="6" borderId="8" xfId="0">
      <protection locked="0"/>
    </xf>
    <xf numFmtId="0" fontId="10" fillId="0" borderId="4" xfId="0">
      <alignment horizontal="left" vertical="bottom"/>
    </xf>
    <xf numFmtId="0" fontId="10" fillId="0" borderId="7" xfId="0">
      <alignment horizontal="left" vertical="bottom"/>
    </xf>
    <xf numFmtId="10" fontId="14" fillId="6" borderId="3" xfId="0">
      <protection locked="0"/>
    </xf>
    <xf numFmtId="0" fontId="3" fillId="0" borderId="10" xfId="0">
      <alignment horizontal="center" vertical="center"/>
    </xf>
    <xf numFmtId="0" fontId="29" fillId="0" borderId="11" xfId="0">
      <alignment horizontal="center" vertical="center" wrapText="1"/>
    </xf>
    <xf numFmtId="0" fontId="3" fillId="0" borderId="10" xfId="0">
      <alignment horizontal="center" vertical="center" wrapText="1"/>
    </xf>
    <xf numFmtId="0" fontId="10" fillId="0" borderId="3" xfId="0">
      <alignment horizontal="left" vertical="bottom"/>
    </xf>
    <xf numFmtId="40394" fontId="10" fillId="6" borderId="4" xfId="2">
      <protection locked="0"/>
    </xf>
    <xf numFmtId="40398" fontId="14" fillId="0" borderId="3" xfId="0"/>
    <xf numFmtId="40394" fontId="10" fillId="6" borderId="3" xfId="2">
      <alignment horizontal="center" vertical="bottom"/>
      <protection locked="0"/>
    </xf>
    <xf numFmtId="40394" fontId="14" fillId="6" borderId="3" xfId="0">
      <protection locked="0"/>
    </xf>
    <xf numFmtId="40398" fontId="10" fillId="0" borderId="4" xfId="0"/>
    <xf numFmtId="40398" fontId="14" fillId="6" borderId="3" xfId="0">
      <protection locked="0"/>
    </xf>
    <xf numFmtId="40394" fontId="10" fillId="6" borderId="9" xfId="2">
      <protection locked="0"/>
    </xf>
    <xf numFmtId="40398" fontId="14" fillId="0" borderId="5" xfId="0"/>
    <xf numFmtId="40394" fontId="10" fillId="6" borderId="5" xfId="2">
      <alignment horizontal="center" vertical="bottom"/>
      <protection locked="0"/>
    </xf>
    <xf numFmtId="40394" fontId="14" fillId="6" borderId="5" xfId="0">
      <protection locked="0"/>
    </xf>
    <xf numFmtId="0" fontId="10" fillId="0" borderId="4" xfId="0"/>
    <xf numFmtId="40398" fontId="10" fillId="0" borderId="4" xfId="2"/>
    <xf numFmtId="0" fontId="12" fillId="0" borderId="1" xfId="0"/>
    <xf numFmtId="0" fontId="13" fillId="0" borderId="1" xfId="0"/>
    <xf numFmtId="40380" fontId="13" fillId="0" borderId="1" xfId="2"/>
    <xf numFmtId="40384" fontId="13" fillId="0" borderId="1" xfId="2"/>
    <xf numFmtId="40389" fontId="10" fillId="6" borderId="8" xfId="10">
      <protection locked="0"/>
    </xf>
    <xf numFmtId="40382" fontId="13" fillId="0" borderId="1" xfId="4"/>
    <xf numFmtId="0" fontId="14" fillId="0" borderId="8" xfId="0"/>
    <xf numFmtId="0" fontId="14" fillId="6" borderId="8" xfId="0"/>
    <xf numFmtId="0" fontId="52" fillId="12" borderId="1" xfId="0"/>
    <xf numFmtId="10" fontId="14" fillId="0" borderId="1" xfId="0"/>
    <xf numFmtId="40654" fontId="14" fillId="0" borderId="1" xfId="0"/>
    <xf numFmtId="0" fontId="21" fillId="0" borderId="1" xfId="0"/>
    <xf numFmtId="0" fontId="14" fillId="0" borderId="1" xfId="0">
      <alignment vertical="center"/>
    </xf>
    <xf numFmtId="0" fontId="17" fillId="0" borderId="1" xfId="0">
      <alignment vertical="center"/>
    </xf>
    <xf numFmtId="0" fontId="17" fillId="0" borderId="1" xfId="0">
      <alignment horizontal="left" vertical="center"/>
    </xf>
    <xf numFmtId="0" fontId="3" fillId="0" borderId="3" xfId="0">
      <alignment horizontal="right" vertical="bottom"/>
    </xf>
    <xf numFmtId="0" fontId="3" fillId="0" borderId="8" xfId="0"/>
    <xf numFmtId="40394" fontId="16" fillId="0" borderId="8" xfId="10">
      <protection locked="0"/>
    </xf>
    <xf numFmtId="0" fontId="3" fillId="0" borderId="8" xfId="0">
      <alignment horizontal="center" vertical="center"/>
    </xf>
    <xf numFmtId="0" fontId="14" fillId="0" borderId="3" xfId="0">
      <alignment horizontal="left" vertical="bottom" indent="3"/>
      <protection locked="0"/>
    </xf>
    <xf numFmtId="40394" fontId="10" fillId="6" borderId="3" xfId="2">
      <protection locked="0"/>
    </xf>
    <xf numFmtId="40654" fontId="10" fillId="6" borderId="3" xfId="2">
      <protection locked="0"/>
    </xf>
    <xf numFmtId="0" fontId="17" fillId="0" borderId="3" xfId="0"/>
    <xf numFmtId="0" fontId="14" fillId="0" borderId="3" xfId="0">
      <alignment horizontal="left" vertical="bottom" indent="3"/>
    </xf>
    <xf numFmtId="40394" fontId="14" fillId="0" borderId="3" xfId="0"/>
    <xf numFmtId="0" fontId="14" fillId="0" borderId="3" xfId="0">
      <alignment horizontal="left" vertical="bottom" indent="6"/>
    </xf>
    <xf numFmtId="40382" fontId="14" fillId="0" borderId="1" xfId="0"/>
    <xf numFmtId="0" fontId="22" fillId="0" borderId="1" xfId="0">
      <alignment vertical="center"/>
    </xf>
    <xf numFmtId="0" fontId="14" fillId="0" borderId="1" xfId="0">
      <alignment horizontal="center" vertical="bottom"/>
    </xf>
    <xf numFmtId="0" fontId="14" fillId="0" borderId="8" xfId="0">
      <alignment horizontal="left" vertical="bottom" indent="3"/>
    </xf>
    <xf numFmtId="0" fontId="14" fillId="0" borderId="3" xfId="0">
      <alignment horizontal="left" vertical="bottom"/>
      <protection locked="0"/>
    </xf>
    <xf numFmtId="40389" fontId="10" fillId="0" borderId="3" xfId="0"/>
    <xf numFmtId="40380" fontId="14" fillId="0" borderId="3" xfId="0"/>
    <xf numFmtId="40394" fontId="10" fillId="0" borderId="8" xfId="2">
      <alignment horizontal="right" vertical="bottom"/>
    </xf>
    <xf numFmtId="40394" fontId="14" fillId="0" borderId="8" xfId="0"/>
    <xf numFmtId="0" fontId="14" fillId="0" borderId="3" xfId="0">
      <alignment horizontal="left" vertical="bottom"/>
    </xf>
    <xf numFmtId="40398" fontId="14" fillId="0" borderId="8" xfId="0"/>
    <xf numFmtId="40398" fontId="10" fillId="0" borderId="8" xfId="2"/>
    <xf numFmtId="40398" fontId="3" fillId="0" borderId="8" xfId="0"/>
    <xf numFmtId="0" fontId="3" fillId="0" borderId="1" xfId="0" quotePrefix="1">
      <alignment horizontal="left" vertical="bottom"/>
    </xf>
    <xf numFmtId="0" fontId="15" fillId="0" borderId="1" xfId="0" quotePrefix="1"/>
    <xf numFmtId="0" fontId="17" fillId="0" borderId="1" xfId="0" quotePrefix="1"/>
    <xf numFmtId="0" fontId="3" fillId="0" borderId="8" xfId="0">
      <alignment horizontal="left" vertical="bottom"/>
    </xf>
    <xf numFmtId="40384" fontId="10" fillId="0" borderId="8" xfId="2"/>
    <xf numFmtId="0" fontId="3" fillId="0" borderId="3" xfId="0">
      <alignment horizontal="left" vertical="bottom"/>
    </xf>
    <xf numFmtId="40384" fontId="10" fillId="0" borderId="3" xfId="2"/>
    <xf numFmtId="0" fontId="10" fillId="0" borderId="3" xfId="0">
      <alignment horizontal="left" vertical="bottom" indent="3"/>
    </xf>
    <xf numFmtId="40394" fontId="10" fillId="0" borderId="3" xfId="2" quotePrefix="1"/>
    <xf numFmtId="0" fontId="10" fillId="0" borderId="3" xfId="0">
      <alignment horizontal="left" vertical="bottom" indent="6"/>
    </xf>
    <xf numFmtId="0" fontId="3" fillId="7" borderId="3" xfId="0">
      <alignment horizontal="left" vertical="bottom"/>
    </xf>
    <xf numFmtId="40398" fontId="10" fillId="7" borderId="3" xfId="2"/>
    <xf numFmtId="0" fontId="3" fillId="0" borderId="1" xfId="0" quotePrefix="1"/>
    <xf numFmtId="40384" fontId="3" fillId="0" borderId="8" xfId="2"/>
    <xf numFmtId="40384" fontId="3" fillId="0" borderId="3" xfId="2"/>
    <xf numFmtId="40398" fontId="3" fillId="0" borderId="3" xfId="0">
      <alignment horizontal="left" vertical="bottom" indent="3"/>
    </xf>
    <xf numFmtId="0" fontId="10" fillId="0" borderId="3" xfId="0">
      <alignment horizontal="left" vertical="bottom" indent="5"/>
    </xf>
    <xf numFmtId="0" fontId="23" fillId="0" borderId="1" xfId="0"/>
    <xf numFmtId="0" fontId="10" fillId="0" borderId="3" xfId="0">
      <alignment horizontal="left" vertical="center"/>
    </xf>
    <xf numFmtId="40394" fontId="10" fillId="0" borderId="3" xfId="0"/>
    <xf numFmtId="0" fontId="10" fillId="7" borderId="3" xfId="0">
      <alignment horizontal="left" vertical="center"/>
    </xf>
    <xf numFmtId="40398" fontId="3" fillId="7" borderId="3" xfId="0">
      <alignment horizontal="left" vertical="bottom"/>
    </xf>
    <xf numFmtId="0" fontId="10" fillId="0" borderId="3" xfId="0">
      <alignment horizontal="left" vertical="bottom" indent="3"/>
      <protection locked="0"/>
    </xf>
    <xf numFmtId="0" fontId="10" fillId="7" borderId="3" xfId="0">
      <alignment horizontal="left" vertical="bottom" indent="3"/>
    </xf>
    <xf numFmtId="0" fontId="10" fillId="7" borderId="3" xfId="0">
      <alignment horizontal="left" vertical="bottom" indent="6"/>
    </xf>
    <xf numFmtId="0" fontId="46" fillId="0" borderId="1" xfId="0"/>
    <xf numFmtId="0" fontId="47" fillId="0" borderId="1" xfId="0">
      <protection hidden="1"/>
    </xf>
    <xf numFmtId="0" fontId="46" fillId="0" borderId="1" xfId="0">
      <protection hidden="1"/>
    </xf>
    <xf numFmtId="40398" fontId="46" fillId="0" borderId="1" xfId="0">
      <protection hidden="1"/>
    </xf>
    <xf numFmtId="9" fontId="15" fillId="0" borderId="1" xfId="0">
      <alignment horizontal="center" vertical="bottom"/>
    </xf>
    <xf numFmtId="9" fontId="15" fillId="0" borderId="1" xfId="0"/>
    <xf numFmtId="0" fontId="51" fillId="0" borderId="1" xfId="7">
      <alignment horizontal="center" vertical="center"/>
    </xf>
    <xf numFmtId="9" fontId="3" fillId="0" borderId="1" xfId="0">
      <alignment horizontal="center" vertical="center"/>
    </xf>
    <xf numFmtId="9" fontId="3" fillId="0" borderId="1" xfId="0">
      <alignment vertical="center"/>
    </xf>
    <xf numFmtId="9" fontId="10" fillId="0" borderId="1" xfId="0">
      <alignment horizontal="center" vertical="center"/>
    </xf>
    <xf numFmtId="9" fontId="10" fillId="0" borderId="1" xfId="0">
      <alignment vertical="center"/>
    </xf>
    <xf numFmtId="0" fontId="10" fillId="0" borderId="10" xfId="0">
      <alignment horizontal="left" vertical="center"/>
    </xf>
    <xf numFmtId="40394" fontId="10" fillId="0" borderId="8" xfId="0">
      <alignment horizontal="right" vertical="bottom"/>
    </xf>
    <xf numFmtId="9" fontId="10" fillId="0" borderId="8" xfId="0">
      <alignment horizontal="center" vertical="bottom"/>
    </xf>
    <xf numFmtId="9" fontId="10" fillId="0" borderId="8" xfId="0">
      <alignment horizontal="right" vertical="bottom"/>
    </xf>
    <xf numFmtId="0" fontId="10" fillId="0" borderId="4" xfId="0">
      <alignment horizontal="left" vertical="center"/>
    </xf>
    <xf numFmtId="40394" fontId="10" fillId="0" borderId="3" xfId="2">
      <alignment horizontal="right" vertical="bottom"/>
    </xf>
    <xf numFmtId="9" fontId="10" fillId="0" borderId="3" xfId="2">
      <alignment horizontal="center" vertical="bottom"/>
    </xf>
    <xf numFmtId="9" fontId="10" fillId="0" borderId="3" xfId="2">
      <alignment horizontal="right" vertical="bottom"/>
    </xf>
    <xf numFmtId="9" fontId="10" fillId="0" borderId="3" xfId="0">
      <alignment horizontal="center" vertical="bottom"/>
    </xf>
    <xf numFmtId="9" fontId="10" fillId="0" borderId="3" xfId="0">
      <alignment horizontal="right" vertical="bottom"/>
    </xf>
    <xf numFmtId="0" fontId="3" fillId="0" borderId="4" xfId="0">
      <alignment horizontal="left" vertical="bottom"/>
    </xf>
    <xf numFmtId="9" fontId="3" fillId="0" borderId="3" xfId="2">
      <alignment horizontal="center" vertical="bottom"/>
    </xf>
    <xf numFmtId="9" fontId="3" fillId="0" borderId="3" xfId="2"/>
    <xf numFmtId="9" fontId="10" fillId="0" borderId="8" xfId="0"/>
    <xf numFmtId="9" fontId="10" fillId="0" borderId="3" xfId="0"/>
    <xf numFmtId="40394" fontId="3" fillId="0" borderId="3" xfId="0"/>
    <xf numFmtId="9" fontId="3" fillId="0" borderId="3" xfId="0">
      <alignment horizontal="center" vertical="bottom"/>
    </xf>
    <xf numFmtId="0" fontId="10" fillId="0" borderId="8" xfId="0">
      <alignment horizontal="left" vertical="bottom"/>
    </xf>
    <xf numFmtId="9" fontId="10" fillId="0" borderId="8" xfId="2">
      <alignment horizontal="center" vertical="bottom"/>
    </xf>
    <xf numFmtId="9" fontId="10" fillId="0" borderId="8" xfId="2"/>
    <xf numFmtId="9" fontId="10" fillId="0" borderId="3" xfId="2"/>
    <xf numFmtId="0" fontId="10" fillId="0" borderId="3" xfId="0">
      <alignment horizontal="left" vertical="bottom"/>
      <protection locked="0"/>
    </xf>
    <xf numFmtId="0" fontId="3" fillId="0" borderId="9" xfId="0">
      <alignment horizontal="left" vertical="bottom"/>
    </xf>
    <xf numFmtId="40398" fontId="3" fillId="0" borderId="5" xfId="0"/>
    <xf numFmtId="9" fontId="3" fillId="0" borderId="5" xfId="0">
      <alignment horizontal="center" vertical="bottom"/>
    </xf>
    <xf numFmtId="0" fontId="3" fillId="9" borderId="3" xfId="0">
      <alignment horizontal="left" vertical="bottom"/>
    </xf>
    <xf numFmtId="40398" fontId="3" fillId="9" borderId="3" xfId="0"/>
    <xf numFmtId="9" fontId="3" fillId="9" borderId="3" xfId="0">
      <alignment horizontal="center" vertical="bottom"/>
    </xf>
    <xf numFmtId="0" fontId="31" fillId="0" borderId="13" xfId="0">
      <alignment horizontal="left" vertical="bottom"/>
    </xf>
    <xf numFmtId="40" fontId="33" fillId="0" borderId="12" xfId="0"/>
    <xf numFmtId="9" fontId="33" fillId="0" borderId="12" xfId="0">
      <alignment horizontal="center" vertical="bottom"/>
    </xf>
    <xf numFmtId="9" fontId="33" fillId="0" borderId="12" xfId="0"/>
    <xf numFmtId="0" fontId="10" fillId="0" borderId="8" xfId="0">
      <alignment horizontal="left" vertical="bottom" indent="3"/>
    </xf>
    <xf numFmtId="40394" fontId="10" fillId="0" borderId="8" xfId="0"/>
    <xf numFmtId="0" fontId="10" fillId="0" borderId="4" xfId="0">
      <alignment horizontal="left" vertical="bottom" indent="3"/>
    </xf>
    <xf numFmtId="40" fontId="10" fillId="0" borderId="3" xfId="0"/>
    <xf numFmtId="0" fontId="10" fillId="0" borderId="4" xfId="0">
      <alignment horizontal="left" vertical="bottom" indent="6"/>
    </xf>
    <xf numFmtId="9" fontId="46" fillId="0" borderId="1" xfId="0">
      <alignment horizontal="center" vertical="bottom"/>
    </xf>
    <xf numFmtId="9" fontId="46" fillId="0" borderId="1" xfId="0"/>
    <xf numFmtId="0" fontId="47" fillId="0" borderId="1" xfId="0">
      <alignment horizontal="center" vertical="bottom"/>
      <protection hidden="1"/>
    </xf>
    <xf numFmtId="9" fontId="47" fillId="0" borderId="1" xfId="0">
      <alignment horizontal="center" vertical="bottom"/>
      <protection hidden="1"/>
    </xf>
    <xf numFmtId="40398" fontId="46" fillId="0" borderId="1" xfId="0">
      <protection hidden="1"/>
    </xf>
    <xf numFmtId="40398" fontId="46" fillId="0" borderId="1" xfId="0">
      <alignment horizontal="center" vertical="bottom"/>
      <protection hidden="1"/>
    </xf>
    <xf numFmtId="40398" fontId="46" fillId="0" borderId="1" xfId="0"/>
    <xf numFmtId="40398" fontId="46" fillId="0" borderId="1" xfId="0"/>
    <xf numFmtId="40398" fontId="46" fillId="0" borderId="1" xfId="0">
      <alignment horizontal="center" vertical="bottom"/>
    </xf>
    <xf numFmtId="9" fontId="3" fillId="0" borderId="1" xfId="0">
      <alignment horizontal="center" vertical="bottom"/>
    </xf>
    <xf numFmtId="9" fontId="3" fillId="0" borderId="1" xfId="0"/>
    <xf numFmtId="40380" fontId="3" fillId="0" borderId="1" xfId="0">
      <alignment horizontal="center" vertical="center"/>
    </xf>
    <xf numFmtId="40398" fontId="10" fillId="0" borderId="1" xfId="0"/>
    <xf numFmtId="40398" fontId="10" fillId="0" borderId="1" xfId="0"/>
    <xf numFmtId="40398" fontId="10" fillId="0" borderId="1" xfId="0">
      <alignment horizontal="center" vertical="bottom"/>
    </xf>
    <xf numFmtId="9" fontId="10" fillId="0" borderId="1" xfId="0">
      <alignment horizontal="center" vertical="bottom"/>
    </xf>
    <xf numFmtId="9" fontId="10" fillId="0" borderId="1" xfId="0"/>
    <xf numFmtId="9" fontId="18" fillId="0" borderId="1" xfId="0">
      <alignment horizontal="center" vertical="bottom"/>
    </xf>
    <xf numFmtId="9" fontId="18" fillId="0" borderId="1" xfId="0"/>
    <xf numFmtId="40" fontId="10" fillId="0" borderId="8" xfId="2"/>
    <xf numFmtId="40422" fontId="10" fillId="0" borderId="3" xfId="2"/>
    <xf numFmtId="0" fontId="10" fillId="0" borderId="3" xfId="0">
      <alignment horizontal="left" vertical="center" indent="3"/>
    </xf>
    <xf numFmtId="0" fontId="3" fillId="0" borderId="3" xfId="0">
      <alignment horizontal="left" vertical="center"/>
    </xf>
    <xf numFmtId="0" fontId="10" fillId="0" borderId="8" xfId="0">
      <alignment horizontal="left" vertical="center"/>
    </xf>
    <xf numFmtId="40422" fontId="10" fillId="0" borderId="8" xfId="2"/>
    <xf numFmtId="0" fontId="24" fillId="0" borderId="1" xfId="0"/>
    <xf numFmtId="40398" fontId="3" fillId="0" borderId="3" xfId="4"/>
    <xf numFmtId="40468" fontId="10" fillId="0" borderId="3" xfId="0"/>
    <xf numFmtId="0" fontId="3" fillId="0" borderId="3" xfId="0">
      <alignment horizontal="center" vertical="center"/>
    </xf>
    <xf numFmtId="0" fontId="27" fillId="0" borderId="1" xfId="7">
      <alignment horizontal="center" vertical="center" wrapText="1"/>
    </xf>
    <xf numFmtId="0" fontId="15" fillId="0" borderId="1" xfId="0">
      <alignment horizontal="left" vertical="center"/>
    </xf>
    <xf numFmtId="40382" fontId="3" fillId="0" borderId="1" xfId="4">
      <alignment horizontal="right" vertical="center"/>
    </xf>
    <xf numFmtId="1" fontId="16" fillId="0" borderId="1" xfId="2">
      <alignment horizontal="left" vertical="center"/>
    </xf>
    <xf numFmtId="40398" fontId="10" fillId="0" borderId="8" xfId="0">
      <alignment horizontal="right" vertical="bottom"/>
    </xf>
    <xf numFmtId="40389" fontId="3" fillId="0" borderId="3" xfId="0">
      <alignment horizontal="right" vertical="bottom"/>
    </xf>
    <xf numFmtId="40382" fontId="19" fillId="0" borderId="1" xfId="4">
      <alignment horizontal="center" vertical="bottom"/>
    </xf>
    <xf numFmtId="40382" fontId="10" fillId="0" borderId="8" xfId="0">
      <alignment horizontal="left" vertical="center" wrapText="1"/>
    </xf>
    <xf numFmtId="40382" fontId="10" fillId="0" borderId="3" xfId="0">
      <alignment horizontal="left" vertical="center" wrapText="1"/>
    </xf>
    <xf numFmtId="40398" fontId="3" fillId="0" borderId="3" xfId="0">
      <alignment horizontal="right" vertical="center" wrapText="1"/>
    </xf>
    <xf numFmtId="40389" fontId="10" fillId="0" borderId="8" xfId="0">
      <alignment horizontal="right" vertical="center" wrapText="1"/>
    </xf>
    <xf numFmtId="40398" fontId="10" fillId="0" borderId="3" xfId="0">
      <alignment horizontal="left" vertical="center" wrapText="1"/>
    </xf>
    <xf numFmtId="0" fontId="3" fillId="0" borderId="3" xfId="0">
      <alignment vertical="center" wrapText="1"/>
    </xf>
    <xf numFmtId="40398" fontId="3" fillId="0" borderId="3" xfId="0">
      <alignment vertical="center"/>
    </xf>
    <xf numFmtId="40398" fontId="10" fillId="0" borderId="1" xfId="4">
      <alignment vertical="center"/>
    </xf>
    <xf numFmtId="40382" fontId="10" fillId="0" borderId="1" xfId="0">
      <alignment horizontal="left" vertical="bottom"/>
    </xf>
    <xf numFmtId="40382" fontId="10" fillId="0" borderId="1" xfId="0">
      <alignment horizontal="left" vertical="center" wrapText="1"/>
    </xf>
    <xf numFmtId="40398" fontId="10" fillId="0" borderId="1" xfId="0">
      <alignment horizontal="left" vertical="center"/>
    </xf>
    <xf numFmtId="0" fontId="3" fillId="0" borderId="1" xfId="0">
      <alignment vertical="center" wrapText="1"/>
    </xf>
    <xf numFmtId="40398" fontId="10" fillId="0" borderId="1" xfId="0">
      <alignment vertical="center"/>
    </xf>
    <xf numFmtId="40382" fontId="10" fillId="0" borderId="1" xfId="4">
      <alignment vertical="center"/>
    </xf>
    <xf numFmtId="40394" fontId="10" fillId="0" borderId="1" xfId="0">
      <alignment vertical="center"/>
    </xf>
    <xf numFmtId="0" fontId="10" fillId="0" borderId="1" xfId="0">
      <alignment vertical="center" wrapText="1"/>
    </xf>
    <xf numFmtId="40394" fontId="10" fillId="0" borderId="1" xfId="4">
      <alignment vertical="center"/>
    </xf>
    <xf numFmtId="40394" fontId="14" fillId="0" borderId="1" xfId="10">
      <protection locked="0"/>
    </xf>
    <xf numFmtId="40398" fontId="10" fillId="0" borderId="1" xfId="0">
      <alignment vertical="center" wrapText="1"/>
    </xf>
    <xf numFmtId="40398" fontId="10" fillId="0" borderId="1" xfId="4">
      <alignment vertical="center" wrapText="1"/>
    </xf>
    <xf numFmtId="4" fontId="10" fillId="0" borderId="1" xfId="0">
      <alignment vertical="center" wrapText="1"/>
    </xf>
    <xf numFmtId="40382" fontId="10" fillId="0" borderId="1" xfId="4">
      <alignment vertical="center" wrapText="1"/>
    </xf>
    <xf numFmtId="0" fontId="15" fillId="0" borderId="1" xfId="0">
      <alignment horizontal="center" vertical="bottom"/>
    </xf>
    <xf numFmtId="0" fontId="10" fillId="0" borderId="8" xfId="0">
      <alignment horizontal="left" vertical="bottom" indent="2"/>
    </xf>
    <xf numFmtId="40422" fontId="10" fillId="0" borderId="8" xfId="4"/>
    <xf numFmtId="10" fontId="10" fillId="0" borderId="8" xfId="10"/>
    <xf numFmtId="0" fontId="10" fillId="0" borderId="3" xfId="0">
      <alignment horizontal="left" vertical="bottom" indent="4"/>
    </xf>
    <xf numFmtId="40487" fontId="10" fillId="0" borderId="3" xfId="2"/>
    <xf numFmtId="40487" fontId="10" fillId="0" borderId="3" xfId="0"/>
    <xf numFmtId="0" fontId="10" fillId="0" borderId="3" xfId="0">
      <alignment horizontal="left" vertical="bottom" indent="2"/>
    </xf>
    <xf numFmtId="40380" fontId="10" fillId="0" borderId="3" xfId="2"/>
    <xf numFmtId="40389" fontId="10" fillId="0" borderId="3" xfId="2"/>
    <xf numFmtId="40384" fontId="10" fillId="0" borderId="1" xfId="2"/>
    <xf numFmtId="0" fontId="3" fillId="0" borderId="1" xfId="0">
      <alignment horizontal="right" vertical="bottom"/>
    </xf>
    <xf numFmtId="40389" fontId="3" fillId="0" borderId="8" xfId="10"/>
    <xf numFmtId="0" fontId="10" fillId="0" borderId="8" xfId="10"/>
    <xf numFmtId="10" fontId="10" fillId="0" borderId="1" xfId="10"/>
    <xf numFmtId="40389" fontId="3" fillId="0" borderId="3" xfId="10"/>
    <xf numFmtId="0" fontId="10" fillId="0" borderId="3" xfId="10"/>
    <xf numFmtId="40389" fontId="3" fillId="0" borderId="3" xfId="2"/>
    <xf numFmtId="40384" fontId="3" fillId="0" borderId="3" xfId="0"/>
    <xf numFmtId="0" fontId="10" fillId="0" borderId="3" xfId="2"/>
    <xf numFmtId="37" fontId="3" fillId="0" borderId="3" xfId="10"/>
    <xf numFmtId="0" fontId="10" fillId="0" borderId="3" xfId="2">
      <alignment horizontal="left" vertical="bottom"/>
    </xf>
    <xf numFmtId="0" fontId="10" fillId="0" borderId="8" xfId="2"/>
    <xf numFmtId="40398" fontId="3" fillId="0" borderId="8" xfId="2"/>
    <xf numFmtId="40398" fontId="3" fillId="0" borderId="8" xfId="4"/>
    <xf numFmtId="0" fontId="25" fillId="0" borderId="1" xfId="0">
      <alignment horizontal="left" vertical="center"/>
    </xf>
    <xf numFmtId="0" fontId="26" fillId="0" borderId="1" xfId="7">
      <alignment horizontal="center" vertical="center" wrapText="1"/>
    </xf>
    <xf numFmtId="0" fontId="25" fillId="0" borderId="1" xfId="0">
      <alignment vertical="center"/>
    </xf>
    <xf numFmtId="0" fontId="10" fillId="6" borderId="8" xfId="0">
      <alignment vertical="center"/>
      <protection locked="0"/>
    </xf>
    <xf numFmtId="0" fontId="10" fillId="6" borderId="3" xfId="0">
      <alignment vertical="center"/>
      <protection locked="0"/>
    </xf>
    <xf numFmtId="0" fontId="14" fillId="0" borderId="3" xfId="0">
      <alignment vertical="bottom" wrapText="1"/>
    </xf>
    <xf numFmtId="40394" fontId="14" fillId="8" borderId="3" xfId="0">
      <protection locked="0"/>
    </xf>
    <xf numFmtId="0" fontId="10" fillId="0" borderId="3" xfId="0">
      <alignment vertical="bottom" wrapText="1"/>
    </xf>
    <xf numFmtId="0" fontId="14" fillId="8" borderId="3" xfId="0">
      <protection locked="0"/>
    </xf>
    <xf numFmtId="0" fontId="3" fillId="0" borderId="3" xfId="0">
      <alignment vertical="bottom" wrapText="1"/>
    </xf>
    <xf numFmtId="0" fontId="16" fillId="0" borderId="1" xfId="0">
      <alignment vertical="bottom" wrapText="1"/>
    </xf>
    <xf numFmtId="0" fontId="51" fillId="11" borderId="1" xfId="7">
      <alignment horizontal="center" vertical="center"/>
    </xf>
    <xf numFmtId="0" fontId="18" fillId="7" borderId="1" xfId="0"/>
    <xf numFmtId="0" fontId="27" fillId="11" borderId="1" xfId="7">
      <alignment horizontal="center" vertical="center"/>
    </xf>
    <xf numFmtId="10" fontId="10" fillId="0" borderId="3" xfId="0"/>
    <xf numFmtId="40380" fontId="10" fillId="0" borderId="3" xfId="0"/>
    <xf numFmtId="40393" fontId="10" fillId="0" borderId="3" xfId="0"/>
    <xf numFmtId="0" fontId="3" fillId="0" borderId="3" xfId="0">
      <alignment horizontal="center" vertical="bottom"/>
    </xf>
    <xf numFmtId="40398" fontId="10" fillId="0" borderId="3" xfId="2">
      <alignment horizontal="right" vertical="bottom"/>
    </xf>
    <xf numFmtId="40394" fontId="10" fillId="0" borderId="3" xfId="0">
      <alignment horizontal="right" vertical="bottom"/>
    </xf>
    <xf numFmtId="40384" fontId="10" fillId="0" borderId="3" xfId="0">
      <alignment horizontal="right" vertical="bottom"/>
    </xf>
    <xf numFmtId="40384" fontId="10" fillId="0" borderId="3" xfId="0"/>
    <xf numFmtId="40382" fontId="10" fillId="0" borderId="8" xfId="4"/>
    <xf numFmtId="0" fontId="3" fillId="0" borderId="3" xfId="0">
      <alignment horizontal="left" vertical="bottom" indent="2"/>
    </xf>
    <xf numFmtId="40550" fontId="10" fillId="0" borderId="8" xfId="0"/>
    <xf numFmtId="1" fontId="10" fillId="0" borderId="3" xfId="0"/>
  </cellXfs>
  <cellStyles count="13">
    <cellStyle name="Normal" xfId="0" builtinId="0"/>
    <cellStyle name="Calculation" xfId="1" builtinId="22"/>
    <cellStyle name="Comma" xfId="2" builtinId="3"/>
    <cellStyle name="Comma 2" xfId="3"/>
    <cellStyle name="Currency" xfId="4" builtinId="4"/>
    <cellStyle name="Currency 2" xfId="5"/>
    <cellStyle name="Heading 1" xfId="6" builtinId="16"/>
    <cellStyle name="Hyperlink" xfId="7"/>
    <cellStyle name="Input" xfId="8" builtinId="20"/>
    <cellStyle name="Normal 2" xfId="9"/>
    <cellStyle name="Percent" xfId="10" builtinId="5"/>
    <cellStyle name="Percent 2" xfId="11"/>
    <cellStyle name="Title 2" xfId="12"/>
  </cellStyles>
  <dxfs count="12">
    <dxf>
      <fill>
        <patternFill patternType="solid">
          <fgColor rgb="FFF89E53"/>
          <bgColor rgb="FFF89E53"/>
        </patternFill>
      </fill>
    </dxf>
    <dxf>
      <numFmt numFmtId="49" formatCode="@"/>
      <fill>
        <patternFill patternType="solid">
          <fgColor rgb="FFFF0000"/>
          <bgColor rgb="FFFF0000"/>
        </patternFill>
      </fill>
    </dxf>
    <dxf>
      <font>
        <color rgb="FFFF0000"/>
      </font>
    </dxf>
    <dxf>
      <font>
        <color rgb="FF6A9F42"/>
      </font>
    </dxf>
    <dxf>
      <fill>
        <patternFill patternType="solid">
          <fgColor rgb="FFFFD200"/>
          <bgColor rgb="FFFFD200"/>
        </patternFill>
      </fill>
    </dxf>
    <dxf>
      <fill>
        <patternFill patternType="solid">
          <fgColor rgb="FFFFE043"/>
          <bgColor rgb="FFFFE043"/>
        </patternFill>
      </fill>
    </dxf>
    <dxf>
      <font>
        <color theme="4" tint="0.6"/>
        <name val="Cambria"/>
      </font>
    </dxf>
    <dxf>
      <font>
        <color theme="0" tint="-0.15"/>
        <name val="Cambria"/>
      </font>
    </dxf>
    <dxf>
      <font>
        <color theme="0" tint="-0.25"/>
      </font>
    </dxf>
    <dxf>
      <font>
        <color theme="0" tint="-0.35"/>
      </font>
    </dxf>
    <dxf>
      <fill>
        <patternFill patternType="none"/>
      </fill>
    </dxf>
    <dxf>
      <fill>
        <patternFill patternType="solid">
          <fgColor rgb="FFFF0000"/>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sharedStrings" Target="sharedStrings.xml"/><Relationship Id="rId21" Type="http://schemas.openxmlformats.org/officeDocument/2006/relationships/styles" Target="styles.xml"/><Relationship Id="rId22" Type="http://schemas.openxmlformats.org/officeDocument/2006/relationships/theme" Target="theme/theme1.xml"/><Relationship Id="rId23" Type="http://schemas.openxmlformats.org/officeDocument/2006/relationships/sheetMetadata" Target="metadata.xml"/></Relationships>
</file>

<file path=xl/drawings/_rels/drawing1.xml.rels><?xml version="1.0" encoding="UTF-8" standalone="yes"?>
<Relationships xmlns="http://schemas.openxmlformats.org/package/2006/relationships"/>
</file>

<file path=xl/drawings/_rels/drawing2.xml.rels><?xml version="1.0" encoding="UTF-8" standalone="yes"?>
<Relationships xmlns="http://schemas.openxmlformats.org/package/2006/relationships"/>
</file>

<file path=xl/drawings/_rels/drawing3.xml.rels><?xml version="1.0" encoding="UTF-8" standalone="yes"?>
<Relationships xmlns="http://schemas.openxmlformats.org/package/2006/relationships"/>
</file>

<file path=xl/drawings/_rels/drawing4.xml.rels><?xml version="1.0" encoding="UTF-8" standalone="yes"?>
<Relationships xmlns="http://schemas.openxmlformats.org/package/2006/relationships"/>
</file>

<file path=xl/drawings/_rels/drawing5.xml.rels><?xml version="1.0" encoding="UTF-8" standalone="yes"?>
<Relationships xmlns="http://schemas.openxmlformats.org/package/2006/relationships"/>
</file>

<file path=xl/drawings/_rels/drawing6.xml.rels><?xml version="1.0" encoding="UTF-8" standalone="yes"?>
<Relationships xmlns="http://schemas.openxmlformats.org/package/2006/relationships"/>
</file>

<file path=xl/drawings/_rels/drawing7.xml.rels><?xml version="1.0" encoding="UTF-8" standalone="yes"?>
<Relationships xmlns="http://schemas.openxmlformats.org/package/2006/relationships"/>
</file>

<file path=xl/drawings/_rels/drawing8.xml.rels><?xml version="1.0" encoding="UTF-8" standalone="yes"?>
<Relationships xmlns="http://schemas.openxmlformats.org/package/2006/relationships"/>
</file>

<file path=xl/drawings/_rels/vmlDrawing1.vml.rels><?xml version="1.0" encoding="UTF-8" standalone="yes"?>
<Relationships xmlns="http://schemas.openxmlformats.org/package/2006/relationships"><Relationship Id="rId1" Type="http://schemas.openxmlformats.org/officeDocument/2006/relationships/image" Target="../media/image0.jpeg"/><Relationship Id="rId2"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30480</xdr:colOff>
      <xdr:row>12</xdr:row>
      <xdr:rowOff>140970</xdr:rowOff>
    </xdr:from>
    <xdr:to>
      <xdr:col>4</xdr:col>
      <xdr:colOff>400050</xdr:colOff>
      <xdr:row>46</xdr:row>
      <xdr:rowOff>186267</xdr:rowOff>
    </xdr:to>
    <xdr:sp>
      <xdr:nvSpPr>
        <xdr:cNvPr id="80897" name="TextBox 2"/>
        <xdr:cNvSpPr txBox="1">
          <a:spLocks noChangeAspect="0"/>
        </xdr:cNvSpPr>
      </xdr:nvSpPr>
      <xdr:spPr>
        <a:xfrm>
          <a:off x="386080" y="2471420"/>
          <a:ext cx="4420870" cy="6522297"/>
        </a:xfrm>
        <a:prstGeom prst="rect">
          <a:avLst/>
        </a:prstGeom>
        <a:noFill/>
        <a:ln w="57150" cmpd="sng" cap="flat" algn="ctr">
          <a:solidFill>
            <a:srgbClr val="44c8f5"/>
          </a:solidFill>
          <a:prstDash val="solid"/>
          <a:headEnd w="med" len="med"/>
          <a:tailEnd w="med" len="med"/>
        </a:ln>
        <a:effectLst/>
      </xdr:spPr>
      <xdr:style>
        <a:lnRef idx="2">
          <a:schemeClr val="accent5">
            <a:shade val="50000"/>
          </a:schemeClr>
        </a:lnRef>
        <a:fillRef idx="1">
          <a:schemeClr val="accent5"/>
        </a:fillRef>
        <a:effectRef idx="0">
          <a:schemeClr val="accent1"/>
        </a:effectRef>
        <a:fontRef idx="minor">
          <a:schemeClr val="bg1"/>
        </a:fontRef>
      </xdr:style>
      <xdr:txBody>
        <a:bodyPr vertOverflow="clip" wrap="square" lIns="91440" tIns="91440" rIns="0" bIns="0" anchor="t" upright="1" vert="horz"/>
        <a:lstStyle/>
        <a:p>
          <a:pPr algn="l">
            <a:defRPr sz="1100">
              <a:solidFill>
                <a:schemeClr val="tx1">
                  <a:lumMod val="50000"/>
                  <a:lumOff val="50000"/>
                </a:schemeClr>
              </a:solidFill>
              <a:latin typeface="+mn-lt"/>
            </a:defRPr>
          </a:pPr>
          <a:r>
            <a:rPr sz="1100">
              <a:solidFill>
                <a:schemeClr val="tx1">
                  <a:lumMod val="50000"/>
                  <a:lumOff val="50000"/>
                </a:schemeClr>
              </a:solidFill>
              <a:latin typeface="+mn-lt"/>
            </a:rPr>
            <a:t>Hey,</a:t>
          </a:r>
          <a:endParaRPr/>
        </a:p>
        <a:p>
          <a:pPr algn="l">
            <a:defRPr sz="1100">
              <a:solidFill>
                <a:schemeClr val="tx1">
                  <a:lumMod val="50000"/>
                  <a:lumOff val="50000"/>
                </a:schemeClr>
              </a:solidFill>
              <a:latin typeface="+mn-lt"/>
            </a:defRPr>
          </a:pPr>
          <a:endParaRPr lang="en-US">
            <a:solidFill>
              <a:schemeClr val="tx1">
                <a:lumMod val="50000"/>
                <a:lumOff val="50000"/>
              </a:schemeClr>
            </a:solidFill>
          </a:endParaRPr>
        </a:p>
        <a:p>
          <a:pPr algn="l">
            <a:defRPr sz="1100">
              <a:solidFill>
                <a:schemeClr val="tx1">
                  <a:lumMod val="50000"/>
                  <a:lumOff val="50000"/>
                </a:schemeClr>
              </a:solidFill>
              <a:latin typeface="+mn-lt"/>
            </a:defRPr>
          </a:pPr>
          <a:r>
            <a:rPr sz="1100">
              <a:solidFill>
                <a:schemeClr val="tx1">
                  <a:lumMod val="50000"/>
                  <a:lumOff val="50000"/>
                </a:schemeClr>
              </a:solidFill>
              <a:latin typeface="+mn-lt"/>
            </a:rPr>
            <a:t>I’m excited to share with you a Microsoft Excel Workbook I’ve created to help anyone starting a business or already running one make informed "go/no-go" decisions. Whether you’re a potential entrepreneur looking to project operating profit or need to develop a projected income statement, balance sheet, and cash flow forecast, this tool is here to support you.</a:t>
          </a:r>
          <a:endParaRPr/>
        </a:p>
        <a:p>
          <a:pPr algn="l">
            <a:defRPr sz="1100">
              <a:solidFill>
                <a:schemeClr val="tx1">
                  <a:lumMod val="50000"/>
                  <a:lumOff val="50000"/>
                </a:schemeClr>
              </a:solidFill>
              <a:latin typeface="+mn-lt"/>
            </a:defRPr>
          </a:pPr>
          <a:endParaRPr lang="en-US">
            <a:solidFill>
              <a:schemeClr val="tx1">
                <a:lumMod val="50000"/>
                <a:lumOff val="50000"/>
              </a:schemeClr>
            </a:solidFill>
          </a:endParaRPr>
        </a:p>
        <a:p>
          <a:pPr algn="l">
            <a:defRPr sz="1100">
              <a:solidFill>
                <a:schemeClr val="tx1">
                  <a:lumMod val="50000"/>
                  <a:lumOff val="50000"/>
                </a:schemeClr>
              </a:solidFill>
              <a:latin typeface="+mn-lt"/>
            </a:defRPr>
          </a:pPr>
          <a:r>
            <a:rPr sz="1100">
              <a:solidFill>
                <a:schemeClr val="tx1">
                  <a:lumMod val="50000"/>
                  <a:lumOff val="50000"/>
                </a:schemeClr>
              </a:solidFill>
              <a:latin typeface="+mn-lt"/>
            </a:rPr>
            <a:t>I designed this workbook to accommodate a wide range of users—from those with little to no accounting or Excel experience to those who are well-versed in finance, accounting, and advanced Excel functions.</a:t>
          </a:r>
          <a:endParaRPr/>
        </a:p>
        <a:p>
          <a:pPr algn="l">
            <a:defRPr sz="1100">
              <a:solidFill>
                <a:schemeClr val="tx1">
                  <a:lumMod val="50000"/>
                  <a:lumOff val="50000"/>
                </a:schemeClr>
              </a:solidFill>
              <a:latin typeface="+mn-lt"/>
            </a:defRPr>
          </a:pPr>
          <a:endParaRPr lang="en-US">
            <a:solidFill>
              <a:schemeClr val="tx1">
                <a:lumMod val="50000"/>
                <a:lumOff val="50000"/>
              </a:schemeClr>
            </a:solidFill>
          </a:endParaRPr>
        </a:p>
        <a:p>
          <a:pPr algn="l">
            <a:defRPr sz="1100">
              <a:solidFill>
                <a:schemeClr val="tx1">
                  <a:lumMod val="50000"/>
                  <a:lumOff val="50000"/>
                </a:schemeClr>
              </a:solidFill>
              <a:latin typeface="+mn-lt"/>
            </a:defRPr>
          </a:pPr>
          <a:r>
            <a:rPr sz="1100">
              <a:solidFill>
                <a:schemeClr val="tx1">
                  <a:lumMod val="50000"/>
                  <a:lumOff val="50000"/>
                </a:schemeClr>
              </a:solidFill>
              <a:latin typeface="+mn-lt"/>
            </a:rPr>
            <a:t>Here’s what you can expect:</a:t>
          </a:r>
          <a:endParaRPr/>
        </a:p>
        <a:p>
          <a:pPr algn="l">
            <a:defRPr sz="1100">
              <a:solidFill>
                <a:schemeClr val="tx1">
                  <a:lumMod val="50000"/>
                  <a:lumOff val="50000"/>
                </a:schemeClr>
              </a:solidFill>
              <a:latin typeface="+mn-lt"/>
            </a:defRPr>
          </a:pPr>
          <a:endParaRPr lang="en-US">
            <a:solidFill>
              <a:schemeClr val="tx1">
                <a:lumMod val="50000"/>
                <a:lumOff val="50000"/>
              </a:schemeClr>
            </a:solidFill>
          </a:endParaRPr>
        </a:p>
        <a:p>
          <a:pPr algn="l">
            <a:defRPr sz="1100">
              <a:solidFill>
                <a:schemeClr val="tx1">
                  <a:lumMod val="50000"/>
                  <a:lumOff val="50000"/>
                </a:schemeClr>
              </a:solidFill>
              <a:latin typeface="+mn-lt"/>
            </a:defRPr>
          </a:pPr>
          <a:r>
            <a:rPr sz="1100" b="1">
              <a:solidFill>
                <a:schemeClr val="tx1">
                  <a:lumMod val="50000"/>
                  <a:lumOff val="50000"/>
                </a:schemeClr>
              </a:solidFill>
              <a:latin typeface="+mn-lt"/>
            </a:rPr>
            <a:t>Multiple Worksheets:</a:t>
          </a:r>
          <a:r>
            <a:rPr sz="1100">
              <a:solidFill>
                <a:schemeClr val="tx1">
                  <a:lumMod val="50000"/>
                  <a:lumOff val="50000"/>
                </a:schemeClr>
              </a:solidFill>
              <a:latin typeface="+mn-lt"/>
            </a:rPr>
            <a:t> Each sheet is documented in two ways to make navigation and understanding easier. You’ll find extensive directions and guidance in blue boxes on pages that might need extra explanation.</a:t>
          </a:r>
          <a:endParaRPr/>
        </a:p>
        <a:p>
          <a:pPr algn="l">
            <a:defRPr sz="1100">
              <a:solidFill>
                <a:schemeClr val="tx1">
                  <a:lumMod val="50000"/>
                  <a:lumOff val="50000"/>
                </a:schemeClr>
              </a:solidFill>
              <a:latin typeface="+mn-lt"/>
            </a:defRPr>
          </a:pPr>
          <a:endParaRPr lang="en-US">
            <a:solidFill>
              <a:schemeClr val="tx1">
                <a:lumMod val="50000"/>
                <a:lumOff val="50000"/>
              </a:schemeClr>
            </a:solidFill>
          </a:endParaRPr>
        </a:p>
        <a:p>
          <a:pPr algn="l">
            <a:defRPr sz="1100">
              <a:solidFill>
                <a:schemeClr val="tx1">
                  <a:lumMod val="50000"/>
                  <a:lumOff val="50000"/>
                </a:schemeClr>
              </a:solidFill>
              <a:latin typeface="+mn-lt"/>
            </a:defRPr>
          </a:pPr>
          <a:r>
            <a:rPr sz="1100" b="1">
              <a:solidFill>
                <a:schemeClr val="tx1">
                  <a:lumMod val="50000"/>
                  <a:lumOff val="50000"/>
                </a:schemeClr>
              </a:solidFill>
              <a:latin typeface="+mn-lt"/>
            </a:rPr>
            <a:t>Excel Comments:</a:t>
          </a:r>
          <a:r>
            <a:rPr sz="1100">
              <a:solidFill>
                <a:schemeClr val="tx1">
                  <a:lumMod val="50000"/>
                  <a:lumOff val="50000"/>
                </a:schemeClr>
              </a:solidFill>
              <a:latin typeface="+mn-lt"/>
            </a:rPr>
            <a:t> In addition to the blue boxes, I’ve added comments to specific cells. If you see a red triangle in the upper right corner of a cell, hover your mouse over it to view the note. These comments have a beige background and may include specific directions, important reminders, or additional information about the accounting topics.</a:t>
          </a:r>
          <a:endParaRPr/>
        </a:p>
        <a:p>
          <a:pPr algn="l">
            <a:defRPr sz="1100">
              <a:solidFill>
                <a:schemeClr val="tx1">
                  <a:lumMod val="50000"/>
                  <a:lumOff val="50000"/>
                </a:schemeClr>
              </a:solidFill>
              <a:latin typeface="+mn-lt"/>
            </a:defRPr>
          </a:pPr>
          <a:r>
            <a:rPr sz="1100" b="1">
              <a:solidFill>
                <a:schemeClr val="tx1">
                  <a:lumMod val="50000"/>
                  <a:lumOff val="50000"/>
                </a:schemeClr>
              </a:solidFill>
              <a:latin typeface="+mn-lt"/>
            </a:rPr>
            <a:t>User-Friendly Design:</a:t>
          </a:r>
          <a:r>
            <a:rPr sz="1100">
              <a:solidFill>
                <a:schemeClr val="tx1">
                  <a:lumMod val="50000"/>
                  <a:lumOff val="50000"/>
                </a:schemeClr>
              </a:solidFill>
              <a:latin typeface="+mn-lt"/>
            </a:rPr>
            <a:t> The workbook’s cells and formulas are protected to prevent accidental changes. Cells with yellow or light blue backgrounds are meant for your input, while all other cells automatically generate data based on what you enter.</a:t>
          </a:r>
          <a:endParaRPr/>
        </a:p>
        <a:p>
          <a:pPr algn="l">
            <a:defRPr sz="1100">
              <a:solidFill>
                <a:schemeClr val="tx1">
                  <a:lumMod val="50000"/>
                  <a:lumOff val="50000"/>
                </a:schemeClr>
              </a:solidFill>
              <a:latin typeface="+mn-lt"/>
            </a:defRPr>
          </a:pPr>
          <a:endParaRPr lang="en-US">
            <a:solidFill>
              <a:schemeClr val="tx1">
                <a:lumMod val="50000"/>
                <a:lumOff val="50000"/>
              </a:schemeClr>
            </a:solidFill>
          </a:endParaRPr>
        </a:p>
        <a:p>
          <a:pPr algn="l">
            <a:defRPr sz="1100">
              <a:solidFill>
                <a:schemeClr val="tx1">
                  <a:lumMod val="50000"/>
                  <a:lumOff val="50000"/>
                </a:schemeClr>
              </a:solidFill>
              <a:latin typeface="+mn-lt"/>
            </a:defRPr>
          </a:pPr>
          <a:r>
            <a:rPr sz="1100" b="1">
              <a:solidFill>
                <a:schemeClr val="tx1">
                  <a:lumMod val="50000"/>
                  <a:lumOff val="50000"/>
                </a:schemeClr>
              </a:solidFill>
              <a:latin typeface="+mn-lt"/>
            </a:rPr>
            <a:t>Formula Protection:</a:t>
          </a:r>
          <a:r>
            <a:rPr sz="1100">
              <a:solidFill>
                <a:schemeClr val="tx1">
                  <a:lumMod val="50000"/>
                  <a:lumOff val="50000"/>
                </a:schemeClr>
              </a:solidFill>
              <a:latin typeface="+mn-lt"/>
            </a:rPr>
            <a:t> The formulas are locked to maintain the integrity of the calculations. If you ever need to make changes, the unlock code is "1234." Please use this feature cautiously. I highly recommend saving a copy of the spreadsheet under a different name before altering any formulas.</a:t>
          </a:r>
          <a:endParaRPr/>
        </a:p>
        <a:p>
          <a:pPr algn="l">
            <a:defRPr sz="1100">
              <a:solidFill>
                <a:schemeClr val="tx1">
                  <a:lumMod val="50000"/>
                  <a:lumOff val="50000"/>
                </a:schemeClr>
              </a:solidFill>
              <a:latin typeface="+mn-lt"/>
            </a:defRPr>
          </a:pPr>
          <a:endParaRPr lang="en-US">
            <a:solidFill>
              <a:schemeClr val="tx1">
                <a:lumMod val="50000"/>
                <a:lumOff val="50000"/>
              </a:schemeClr>
            </a:solidFill>
          </a:endParaRPr>
        </a:p>
        <a:p>
          <a:pPr algn="l">
            <a:defRPr sz="1100">
              <a:solidFill>
                <a:schemeClr val="tx1">
                  <a:lumMod val="50000"/>
                  <a:lumOff val="50000"/>
                </a:schemeClr>
              </a:solidFill>
              <a:latin typeface="+mn-lt"/>
            </a:defRPr>
          </a:pPr>
          <a:r>
            <a:rPr sz="1100">
              <a:solidFill>
                <a:schemeClr val="tx1">
                  <a:lumMod val="50000"/>
                  <a:lumOff val="50000"/>
                </a:schemeClr>
              </a:solidFill>
              <a:latin typeface="+mn-lt"/>
            </a:rPr>
            <a:t>Please keep this workbook to yourselves and don’t share it with others. If you have any questions or need clarification on any concepts or how to use the tool, feel free to reach out to me directly or ask Chat GPT. I’m here to help!</a:t>
          </a:r>
          <a:endParaRPr/>
        </a:p>
        <a:p>
          <a:pPr algn="l">
            <a:defRPr sz="1100">
              <a:solidFill>
                <a:schemeClr val="tx1">
                  <a:lumMod val="50000"/>
                  <a:lumOff val="50000"/>
                </a:schemeClr>
              </a:solidFill>
              <a:latin typeface="+mn-lt"/>
            </a:defRPr>
          </a:pPr>
          <a:endParaRPr lang="en-US">
            <a:solidFill>
              <a:schemeClr val="tx1">
                <a:lumMod val="50000"/>
                <a:lumOff val="50000"/>
              </a:schemeClr>
            </a:solidFill>
          </a:endParaRPr>
        </a:p>
        <a:p>
          <a:pPr algn="l">
            <a:defRPr sz="1100">
              <a:solidFill>
                <a:schemeClr val="tx1">
                  <a:lumMod val="50000"/>
                  <a:lumOff val="50000"/>
                </a:schemeClr>
              </a:solidFill>
              <a:latin typeface="+mn-lt"/>
            </a:defRPr>
          </a:pPr>
          <a:r>
            <a:rPr sz="1100">
              <a:solidFill>
                <a:schemeClr val="tx1">
                  <a:lumMod val="50000"/>
                  <a:lumOff val="50000"/>
                </a:schemeClr>
              </a:solidFill>
              <a:latin typeface="+mn-lt"/>
            </a:rPr>
            <a:t>Best regards,</a:t>
          </a:r>
          <a:br>
            <a:rPr lang="en-US">
              <a:solidFill>
                <a:schemeClr val="tx1">
                  <a:lumMod val="50000"/>
                  <a:lumOff val="50000"/>
                </a:schemeClr>
              </a:solidFill>
            </a:rPr>
          </a:br>
          <a:r>
            <a:rPr sz="1100">
              <a:solidFill>
                <a:schemeClr val="tx1">
                  <a:lumMod val="50000"/>
                  <a:lumOff val="50000"/>
                </a:schemeClr>
              </a:solidFill>
              <a:latin typeface="+mn-lt"/>
            </a:rPr>
            <a:t>Augusto Pena</a:t>
          </a:r>
          <a:endParaRPr/>
        </a:p>
      </xdr:txBody>
    </xdr:sp>
    <xdr:clientData fLocksWithSheet="0"/>
  </xdr:twoCellAnchor>
  <xdr:twoCellAnchor>
    <xdr:from>
      <xdr:col>4</xdr:col>
      <xdr:colOff>725804</xdr:colOff>
      <xdr:row>12</xdr:row>
      <xdr:rowOff>133350</xdr:rowOff>
    </xdr:from>
    <xdr:to>
      <xdr:col>7</xdr:col>
      <xdr:colOff>466724</xdr:colOff>
      <xdr:row>20</xdr:row>
      <xdr:rowOff>72391</xdr:rowOff>
    </xdr:to>
    <xdr:grpSp>
      <xdr:nvGrpSpPr>
        <xdr:cNvPr id="3" name="Group 2"/>
        <xdr:cNvGrpSpPr>
          <a:grpSpLocks noChangeAspect="0"/>
        </xdr:cNvGrpSpPr>
      </xdr:nvGrpSpPr>
      <xdr:grpSpPr>
        <a:xfrm rot="0">
          <a:off x="5132704" y="2463800"/>
          <a:ext cx="2528570" cy="1463041"/>
          <a:chOff x="5132704" y="2463800"/>
          <a:chExt cx="2528570" cy="1463041"/>
        </a:xfrm>
      </xdr:grpSpPr>
      <xdr:grpSp>
        <xdr:nvGrpSpPr>
          <xdr:cNvPr id="80898" name="Group 5"/>
          <xdr:cNvGrpSpPr>
            <a:grpSpLocks noChangeAspect="0"/>
          </xdr:cNvGrpSpPr>
        </xdr:nvGrpSpPr>
        <xdr:grpSpPr>
          <a:xfrm rot="0">
            <a:off x="5132704" y="2463800"/>
            <a:ext cx="2528570" cy="1463041"/>
            <a:chOff x="5132704" y="2463800"/>
            <a:chExt cx="2528570" cy="1463041"/>
          </a:xfrm>
        </xdr:grpSpPr>
        <xdr:sp>
          <xdr:nvSpPr>
            <xdr:cNvPr id="2" name="TextBox 1"/>
            <xdr:cNvSpPr txBox="1">
              <a:spLocks noChangeAspect="0"/>
            </xdr:cNvSpPr>
          </xdr:nvSpPr>
          <xdr:spPr>
            <a:xfrm>
              <a:off x="5132704" y="2463800"/>
              <a:ext cx="2528570" cy="1463041"/>
            </a:xfrm>
            <a:prstGeom prst="rect">
              <a:avLst/>
            </a:prstGeom>
            <a:solidFill>
              <a:schemeClr val="bg1"/>
            </a:solidFill>
            <a:ln w="9525" cmpd="sng">
              <a:solidFill>
                <a:schemeClr val="bg1">
                  <a:shade val="50000"/>
                </a:schemeClr>
              </a:solidFill>
            </a:ln>
          </xdr:spPr>
          <xdr:style>
            <a:lnRef idx="0"/>
            <a:fillRef idx="0"/>
            <a:effectRef idx="0">
              <a:schemeClr val="accent1"/>
            </a:effectRef>
            <a:fontRef idx="minor">
              <a:schemeClr val="tx1"/>
            </a:fontRef>
          </xdr:style>
          <xdr:txBody>
            <a:bodyPr vertOverflow="clip" horzOverflow="clip" wrap="square" rtlCol="0" anchor="t" vert="horz"/>
            <a:lstStyle/>
            <a:p>
              <a:pPr algn="l">
                <a:defRPr sz="2000">
                  <a:solidFill>
                    <a:schemeClr val="tx1"/>
                  </a:solidFill>
                  <a:latin typeface="Gill Sans MT"/>
                </a:defRPr>
              </a:pPr>
              <a:r>
                <a:rPr sz="2000">
                  <a:solidFill>
                    <a:schemeClr val="tx1"/>
                  </a:solidFill>
                  <a:latin typeface="Gill Sans MT"/>
                </a:rPr>
                <a:t>Color-Coding:</a:t>
              </a:r>
              <a:endParaRPr/>
            </a:p>
            <a:p>
              <a:pPr algn="l">
                <a:defRPr sz="2000">
                  <a:solidFill>
                    <a:schemeClr val="tx1"/>
                  </a:solidFill>
                  <a:latin typeface="Gill Sans MT"/>
                </a:defRPr>
              </a:pPr>
              <a:endParaRPr lang="en-US" sz="1100"/>
            </a:p>
            <a:p>
              <a:pPr algn="l">
                <a:defRPr sz="2000">
                  <a:solidFill>
                    <a:schemeClr val="tx1"/>
                  </a:solidFill>
                  <a:latin typeface="Gill Sans MT"/>
                </a:defRPr>
              </a:pPr>
              <a:r>
                <a:rPr sz="1100">
                  <a:latin typeface="Gill Sans MT"/>
                </a:rPr>
                <a:t>                     </a:t>
              </a:r>
              <a:endParaRPr/>
            </a:p>
          </xdr:txBody>
        </xdr:sp>
        <xdr:sp>
          <xdr:nvSpPr>
            <xdr:cNvPr id="10" name="Rectangle 9"/>
            <xdr:cNvSpPr>
              <a:spLocks noChangeAspect="0"/>
            </xdr:cNvSpPr>
          </xdr:nvSpPr>
          <xdr:spPr>
            <a:xfrm>
              <a:off x="5251803" y="2902816"/>
              <a:ext cx="2290372" cy="199138"/>
            </a:xfrm>
            <a:prstGeom prst="rect">
              <a:avLst/>
            </a:prstGeom>
            <a:solidFill>
              <a:srgbClr val="f89e53"/>
            </a:solidFill>
            <a:ln w="9525" cmpd="sng" cap="flat" algn="ctr">
              <a:solidFill>
                <a:schemeClr val="accent1">
                  <a:shade val="50000"/>
                </a:schemeClr>
              </a:solidFill>
              <a:prstDash val="solid"/>
            </a:ln>
          </xdr:spPr>
          <xdr:style>
            <a:lnRef idx="1">
              <a:schemeClr val="accent1"/>
            </a:lnRef>
            <a:fillRef idx="3"/>
            <a:effectRef idx="0">
              <a:schemeClr val="accent1"/>
            </a:effectRef>
            <a:fontRef idx="minor">
              <a:schemeClr val="bg1"/>
            </a:fontRef>
          </xdr:style>
          <xdr:txBody>
            <a:bodyPr vertOverflow="clip" horzOverflow="clip" wrap="square" rtlCol="0" anchor="t" vert="horz"/>
            <a:lstStyle/>
            <a:p>
              <a:pPr algn="ctr">
                <a:defRPr sz="1100" b="1">
                  <a:solidFill>
                    <a:sysClr val="windowText" lastClr="000000"/>
                  </a:solidFill>
                  <a:latin typeface="Gill Sans MT"/>
                </a:defRPr>
              </a:pPr>
              <a:r>
                <a:rPr sz="1100" b="1">
                  <a:solidFill>
                    <a:sysClr val="windowText" lastClr="000000"/>
                  </a:solidFill>
                  <a:latin typeface="Gill Sans MT"/>
                </a:rPr>
                <a:t>Enter Data Here</a:t>
              </a:r>
              <a:endParaRPr/>
            </a:p>
          </xdr:txBody>
        </xdr:sp>
      </xdr:grpSp>
      <xdr:sp>
        <xdr:nvSpPr>
          <xdr:cNvPr id="9" name="Rectangle 8"/>
          <xdr:cNvSpPr>
            <a:spLocks noChangeAspect="0"/>
          </xdr:cNvSpPr>
        </xdr:nvSpPr>
        <xdr:spPr>
          <a:xfrm>
            <a:off x="5245785" y="3408154"/>
            <a:ext cx="2290546" cy="199138"/>
          </a:xfrm>
          <a:prstGeom prst="rect">
            <a:avLst/>
          </a:prstGeom>
          <a:solidFill>
            <a:srgbClr val="ffc95b"/>
          </a:solidFill>
          <a:ln w="9525" cmpd="sng" cap="flat" algn="ctr">
            <a:solidFill>
              <a:schemeClr val="accent1">
                <a:shade val="50000"/>
              </a:schemeClr>
            </a:solidFill>
            <a:prstDash val="solid"/>
          </a:ln>
        </xdr:spPr>
        <xdr:style>
          <a:lnRef idx="1">
            <a:schemeClr val="accent1"/>
          </a:lnRef>
          <a:fillRef idx="3"/>
          <a:effectRef idx="0">
            <a:schemeClr val="accent1"/>
          </a:effectRef>
          <a:fontRef idx="minor">
            <a:schemeClr val="bg1"/>
          </a:fontRef>
        </xdr:style>
        <xdr:txBody>
          <a:bodyPr vertOverflow="clip" horzOverflow="clip" rtlCol="0" anchor="t" vert="horz" wrap="square"/>
          <a:lstStyle/>
          <a:p>
            <a:pPr algn="ctr">
              <a:defRPr sz="1100" b="1">
                <a:solidFill>
                  <a:sysClr val="windowText" lastClr="000000"/>
                </a:solidFill>
                <a:latin typeface="Gill Sans MT"/>
              </a:defRPr>
            </a:pPr>
            <a:r>
              <a:rPr sz="1100" b="1">
                <a:solidFill>
                  <a:sysClr val="windowText" lastClr="000000"/>
                </a:solidFill>
                <a:latin typeface="Gill Sans MT"/>
              </a:rPr>
              <a:t>Adjust as Needed</a:t>
            </a:r>
            <a:endParaRPr/>
          </a:p>
        </xdr:txBody>
      </xdr:sp>
    </xdr:grpSp>
    <xdr:clientData/>
  </xdr:twoCellAnchor>
  <xdr:twoCellAnchor>
    <xdr:from>
      <xdr:col>4</xdr:col>
      <xdr:colOff>725803</xdr:colOff>
      <xdr:row>21</xdr:row>
      <xdr:rowOff>28575</xdr:rowOff>
    </xdr:from>
    <xdr:to>
      <xdr:col>7</xdr:col>
      <xdr:colOff>480060</xdr:colOff>
      <xdr:row>37</xdr:row>
      <xdr:rowOff>68580</xdr:rowOff>
    </xdr:to>
    <xdr:sp>
      <xdr:nvSpPr>
        <xdr:cNvPr id="8" name="TextBox 7"/>
        <xdr:cNvSpPr txBox="1">
          <a:spLocks noChangeAspect="0"/>
        </xdr:cNvSpPr>
      </xdr:nvSpPr>
      <xdr:spPr>
        <a:xfrm>
          <a:off x="5132703" y="4073525"/>
          <a:ext cx="2541907" cy="3088005"/>
        </a:xfrm>
        <a:prstGeom prst="rect">
          <a:avLst/>
        </a:prstGeom>
        <a:solidFill>
          <a:schemeClr val="bg1"/>
        </a:solidFill>
        <a:ln w="9525" cmpd="sng">
          <a:solidFill>
            <a:schemeClr val="bg1">
              <a:shade val="50000"/>
            </a:schemeClr>
          </a:solidFill>
        </a:ln>
      </xdr:spPr>
      <xdr:style>
        <a:lnRef idx="0"/>
        <a:fillRef idx="0"/>
        <a:effectRef idx="0">
          <a:schemeClr val="accent1"/>
        </a:effectRef>
        <a:fontRef idx="minor">
          <a:schemeClr val="tx1"/>
        </a:fontRef>
      </xdr:style>
      <xdr:txBody>
        <a:bodyPr vertOverflow="clip" horzOverflow="clip" wrap="square" rtlCol="0" anchor="t" vert="horz"/>
        <a:lstStyle/>
        <a:p>
          <a:pPr algn="l">
            <a:defRPr sz="1600">
              <a:solidFill>
                <a:schemeClr val="tx1"/>
              </a:solidFill>
              <a:latin typeface="Gill Sans MT"/>
            </a:defRPr>
          </a:pPr>
          <a:r>
            <a:rPr sz="1600" b="0" i="0">
              <a:solidFill>
                <a:schemeClr val="tx1"/>
              </a:solidFill>
              <a:latin typeface="Gill Sans MT"/>
            </a:rPr>
            <a:t>The cells with formulas in this workbook are locked. </a:t>
          </a:r>
          <a:br>
            <a:rPr lang="en-US" sz="1600" b="0" i="0" baseline="0">
              <a:solidFill>
                <a:schemeClr val="dk1"/>
              </a:solidFill>
              <a:effectLst/>
              <a:latin typeface="Gill Sans MT" panose="020B0502020104020203" pitchFamily="34" charset="0"/>
              <a:ea typeface="+mn-ea"/>
              <a:cs typeface="+mn-cs"/>
            </a:rPr>
          </a:br>
          <a:endParaRPr lang="en-US" sz="1600">
            <a:effectLst/>
            <a:latin typeface="Gill Sans MT" panose="020B0502020104020203" pitchFamily="34" charset="0"/>
          </a:endParaRPr>
        </a:p>
        <a:p>
          <a:pPr algn="l">
            <a:defRPr sz="1600">
              <a:solidFill>
                <a:schemeClr val="tx1"/>
              </a:solidFill>
              <a:latin typeface="Gill Sans MT"/>
            </a:defRPr>
          </a:pPr>
          <a:r>
            <a:rPr sz="1600" b="1" i="0">
              <a:solidFill>
                <a:schemeClr val="tx1"/>
              </a:solidFill>
              <a:latin typeface="Gill Sans MT"/>
            </a:rPr>
            <a:t>If changes are needed, the unlock code is "1234." </a:t>
          </a:r>
          <a:br>
            <a:rPr lang="en-US" sz="1600" b="0" i="0" baseline="0">
              <a:solidFill>
                <a:schemeClr val="dk1"/>
              </a:solidFill>
              <a:effectLst/>
              <a:latin typeface="Gill Sans MT" panose="020B0502020104020203" pitchFamily="34" charset="0"/>
              <a:ea typeface="+mn-ea"/>
              <a:cs typeface="+mn-cs"/>
            </a:rPr>
          </a:br>
          <a:endParaRPr lang="en-US" sz="1600">
            <a:effectLst/>
            <a:latin typeface="Gill Sans MT" panose="020B0502020104020203" pitchFamily="34" charset="0"/>
          </a:endParaRPr>
        </a:p>
        <a:p>
          <a:pPr algn="l">
            <a:defRPr sz="1600">
              <a:solidFill>
                <a:schemeClr val="tx1"/>
              </a:solidFill>
              <a:latin typeface="Gill Sans MT"/>
            </a:defRPr>
          </a:pPr>
          <a:r>
            <a:rPr sz="1600" b="0" i="0">
              <a:solidFill>
                <a:schemeClr val="tx1"/>
              </a:solidFill>
              <a:latin typeface="Gill Sans MT"/>
            </a:rPr>
            <a:t>Please use caution when unlocking the spreadsheets. If you want to change a formula, we strongly recommend that you save a copy of this spreadsheet under a different name before doing so.</a:t>
          </a:r>
          <a:endParaRPr lang="en-US" sz="1600">
            <a:effectLst/>
            <a:latin typeface="Gill Sans MT" panose="020B0502020104020203" pitchFamily="34" charset="0"/>
          </a:endParaRPr>
        </a:p>
        <a:p>
          <a:pPr algn="l">
            <a:defRPr sz="1600">
              <a:solidFill>
                <a:schemeClr val="tx1"/>
              </a:solidFill>
              <a:latin typeface="Gill Sans MT"/>
            </a:defRPr>
          </a:pPr>
          <a:endParaRPr lang="en-US" sz="1100"/>
        </a:p>
        <a:p>
          <a:pPr algn="l">
            <a:defRPr sz="1600">
              <a:solidFill>
                <a:schemeClr val="tx1"/>
              </a:solidFill>
              <a:latin typeface="Gill Sans MT"/>
            </a:defRPr>
          </a:pPr>
          <a:r>
            <a:rPr sz="1100">
              <a:latin typeface="Gill Sans MT"/>
            </a:rPr>
            <a:t>                     </a:t>
          </a:r>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745944</xdr:colOff>
      <xdr:row>44</xdr:row>
      <xdr:rowOff>36739</xdr:rowOff>
    </xdr:from>
    <xdr:to>
      <xdr:col>5</xdr:col>
      <xdr:colOff>1031713</xdr:colOff>
      <xdr:row>50</xdr:row>
      <xdr:rowOff>168820</xdr:rowOff>
    </xdr:to>
    <xdr:sp>
      <xdr:nvSpPr>
        <xdr:cNvPr id="4" name="Text Box 7" descr="Need Help? Ask SCORE."/>
        <xdr:cNvSpPr txBox="1">
          <a:spLocks noChangeAspect="1"/>
        </xdr:cNvSpPr>
      </xdr:nvSpPr>
      <xdr:spPr>
        <a:xfrm>
          <a:off x="5057594" y="7542439"/>
          <a:ext cx="2470169" cy="1153886"/>
        </a:xfrm>
        <a:prstGeom prst="rect">
          <a:avLst/>
        </a:prstGeom>
        <a:noFill/>
        <a:ln w="57150" cmpd="sng">
          <a:solidFill>
            <a:srgbClr val="44c8f5"/>
          </a:solidFill>
          <a:miter lim="800000"/>
          <a:headEnd w="med" len="med"/>
          <a:tailEnd w="med" len="med"/>
        </a:ln>
      </xdr:spPr>
      <xdr:style>
        <a:lnRef idx="2">
          <a:schemeClr val="accent1"/>
        </a:lnRef>
        <a:fillRef idx="1">
          <a:schemeClr val="accent1"/>
        </a:fillRef>
        <a:effectRef idx="0">
          <a:schemeClr val="accent1"/>
        </a:effectRef>
        <a:fontRef idx="minor">
          <a:schemeClr val="bg1"/>
        </a:fontRef>
      </xdr:style>
      <xdr:txBody>
        <a:bodyPr vertOverflow="clip" wrap="square" lIns="91440" tIns="91440" rIns="91440" bIns="91440" anchor="ctr" anchorCtr="0" upright="1" vert="horz">
          <a:noAutofit/>
        </a:bodyPr>
        <a:lstStyle/>
        <a:p>
          <a:pPr marL="0" marR="0" lvl="0" indent="0" algn="l" defTabSz="914400" rtl="1" eaLnBrk="1" fontAlgn="auto" latinLnBrk="0" hangingPunct="1">
            <a:lnSpc>
              <a:spcPct val="100000"/>
            </a:lnSpc>
            <a:spcBef>
              <a:spcPts val="600"/>
            </a:spcBef>
            <a:spcAft>
              <a:spcPts val="0"/>
            </a:spcAft>
            <a:buClrTx/>
            <a:buSzTx/>
            <a:buFontTx/>
            <a:buNone/>
            <a:tabLst/>
            <a:defRPr sz="1000" b="0" i="0" strike="noStrike" u="none">
              <a:solidFill>
                <a:srgbClr val="000000"/>
              </a:solidFill>
              <a:latin typeface="Gill Sans MT"/>
            </a:defRPr>
          </a:pPr>
          <a:r>
            <a:rPr sz="1100" b="0" i="0" strike="noStrike" u="none">
              <a:solidFill>
                <a:sysClr val="windowText" lastClr="000000"/>
              </a:solidFill>
              <a:latin typeface="Gill Sans MT"/>
            </a:rPr>
            <a:t>Note: For existing businesses, this should be the "bucket"  </a:t>
          </a:r>
          <a:r>
            <a:rPr sz="1100" b="0" i="0" strike="noStrike" u="none">
              <a:solidFill>
                <a:sysClr val="windowText" lastClr="000000"/>
              </a:solidFill>
              <a:latin typeface="Gill Sans MT"/>
            </a:rPr>
            <a:t>of cash plus receivables that will be turned </a:t>
          </a:r>
          <a:r>
            <a:rPr sz="1100" b="0" i="0" strike="noStrike" u="none">
              <a:solidFill>
                <a:sysClr val="windowText" lastClr="000000"/>
              </a:solidFill>
              <a:latin typeface="Gill Sans MT"/>
            </a:rPr>
            <a:t>into cash, minus payables that will be paid out in cash in the near term (i.e. in the first months of the plan) </a:t>
          </a:r>
          <a:endParaRPr/>
        </a:p>
      </xdr:txBody>
    </xdr:sp>
    <xdr:clientData fLocksWithSheet="0" fPrintsWithSheet="0"/>
  </xdr:twoCellAnchor>
</xdr:wsDr>
</file>

<file path=xl/drawings/drawing3.xml><?xml version="1.0" encoding="utf-8"?>
<xdr:wsDr xmlns:xdr="http://schemas.openxmlformats.org/drawingml/2006/spreadsheetDrawing" xmlns:a="http://schemas.openxmlformats.org/drawingml/2006/main">
  <xdr:twoCellAnchor>
    <xdr:from>
      <xdr:col>7</xdr:col>
      <xdr:colOff>38100</xdr:colOff>
      <xdr:row>2</xdr:row>
      <xdr:rowOff>83820</xdr:rowOff>
    </xdr:from>
    <xdr:to>
      <xdr:col>11</xdr:col>
      <xdr:colOff>632460</xdr:colOff>
      <xdr:row>8</xdr:row>
      <xdr:rowOff>83820</xdr:rowOff>
    </xdr:to>
    <xdr:sp>
      <xdr:nvSpPr>
        <xdr:cNvPr id="7" name="TextBox 6"/>
        <xdr:cNvSpPr txBox="1">
          <a:spLocks noChangeAspect="0"/>
        </xdr:cNvSpPr>
      </xdr:nvSpPr>
      <xdr:spPr>
        <a:xfrm>
          <a:off x="7181850" y="401320"/>
          <a:ext cx="3451860" cy="1471083"/>
        </a:xfrm>
        <a:prstGeom prst="rect">
          <a:avLst/>
        </a:prstGeom>
        <a:solidFill>
          <a:schemeClr val="bg1"/>
        </a:solidFill>
        <a:ln w="57150" cmpd="sng">
          <a:solidFill>
            <a:schemeClr val="bg2">
              <a:lumMod val="75000"/>
            </a:schemeClr>
          </a:solidFill>
        </a:ln>
      </xdr:spPr>
      <xdr:style>
        <a:lnRef idx="0"/>
        <a:fillRef idx="0"/>
        <a:effectRef idx="0">
          <a:schemeClr val="accent1"/>
        </a:effectRef>
        <a:fontRef idx="minor">
          <a:schemeClr val="tx1"/>
        </a:fontRef>
      </xdr:style>
      <xdr:txBody>
        <a:bodyPr vertOverflow="clip" horzOverflow="clip" wrap="square" rtlCol="0" anchor="t" vert="horz"/>
        <a:lstStyle/>
        <a:p>
          <a:pPr algn="l">
            <a:defRPr sz="1100">
              <a:solidFill>
                <a:schemeClr val="tx1"/>
              </a:solidFill>
              <a:latin typeface="+mn-lt"/>
            </a:defRPr>
          </a:pPr>
          <a:r>
            <a:rPr sz="1100">
              <a:solidFill>
                <a:schemeClr val="tx1"/>
              </a:solidFill>
              <a:latin typeface="+mn-lt"/>
            </a:rPr>
            <a:t>Enter units sold for month 1. Months 2-12 will then populate based on the monthly compounded growth rate you select in cells C3, D3, E3 and F3.</a:t>
          </a:r>
          <a:endParaRPr lang="en-US">
            <a:effectLst/>
          </a:endParaRPr>
        </a:p>
        <a:p>
          <a:pPr algn="l">
            <a:defRPr sz="1100">
              <a:solidFill>
                <a:schemeClr val="tx1"/>
              </a:solidFill>
              <a:latin typeface="+mn-lt"/>
            </a:defRPr>
          </a:pPr>
          <a:r>
            <a:rPr sz="1100">
              <a:solidFill>
                <a:schemeClr val="tx1"/>
              </a:solidFill>
              <a:latin typeface="+mn-lt"/>
            </a:rPr>
            <a:t>The</a:t>
          </a:r>
          <a:r>
            <a:rPr sz="1100">
              <a:solidFill>
                <a:schemeClr val="tx1"/>
              </a:solidFill>
              <a:latin typeface="+mn-lt"/>
            </a:rPr>
            <a:t> included growth rate is just a starting point, if you can provide a more accurate prediction for each month, unlock the sheet (see Directions) and change the value for that month.</a:t>
          </a:r>
          <a:endParaRPr lang="en-US">
            <a:effectLst/>
          </a:endParaRPr>
        </a:p>
        <a:p>
          <a:pPr algn="l">
            <a:defRPr sz="1100">
              <a:solidFill>
                <a:schemeClr val="tx1"/>
              </a:solidFill>
              <a:latin typeface="+mn-lt"/>
            </a:defRPr>
          </a:pP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4</xdr:col>
      <xdr:colOff>13809</xdr:colOff>
      <xdr:row>1</xdr:row>
      <xdr:rowOff>0</xdr:rowOff>
    </xdr:from>
    <xdr:to>
      <xdr:col>9</xdr:col>
      <xdr:colOff>353786</xdr:colOff>
      <xdr:row>7</xdr:row>
      <xdr:rowOff>48578</xdr:rowOff>
    </xdr:to>
    <xdr:sp>
      <xdr:nvSpPr>
        <xdr:cNvPr id="4" name="TextBox 3"/>
        <xdr:cNvSpPr txBox="1">
          <a:spLocks noChangeAspect="0"/>
        </xdr:cNvSpPr>
      </xdr:nvSpPr>
      <xdr:spPr>
        <a:xfrm>
          <a:off x="5119209" y="152400"/>
          <a:ext cx="3416552" cy="1458278"/>
        </a:xfrm>
        <a:prstGeom prst="rect">
          <a:avLst/>
        </a:prstGeom>
        <a:noFill/>
        <a:ln w="57150" cmpd="sng">
          <a:solidFill>
            <a:srgbClr val="44c8f5"/>
          </a:solidFill>
        </a:ln>
      </xdr:spPr>
      <xdr:style>
        <a:lnRef idx="0"/>
        <a:fillRef idx="0"/>
        <a:effectRef idx="0">
          <a:schemeClr val="accent1"/>
        </a:effectRef>
        <a:fontRef idx="minor">
          <a:schemeClr val="tx1"/>
        </a:fontRef>
      </xdr:style>
      <xdr:txBody>
        <a:bodyPr vertOverflow="clip" horzOverflow="clip" wrap="square" rtlCol="0" anchor="t" vert="horz"/>
        <a:lstStyle/>
        <a:p>
          <a:pPr algn="l">
            <a:defRPr sz="900">
              <a:solidFill>
                <a:srgbClr val="000000"/>
              </a:solidFill>
              <a:latin typeface="Gill Sans MT"/>
            </a:defRPr>
          </a:pPr>
          <a:endParaRPr lang="en-US" sz="900" baseline="0">
            <a:solidFill>
              <a:sysClr val="windowText" lastClr="000000"/>
            </a:solidFill>
            <a:latin typeface="Gill Sans MT" pitchFamily="34" charset="0"/>
          </a:endParaRPr>
        </a:p>
        <a:p>
          <a:pPr algn="l">
            <a:defRPr sz="900">
              <a:solidFill>
                <a:srgbClr val="000000"/>
              </a:solidFill>
              <a:latin typeface="Gill Sans MT"/>
            </a:defRPr>
          </a:pPr>
          <a:r>
            <a:rPr sz="900">
              <a:solidFill>
                <a:sysClr val="windowText" lastClr="000000"/>
              </a:solidFill>
              <a:latin typeface="Gill Sans MT"/>
            </a:rPr>
            <a:t>This sheet will populate based on information in the year 1 Sales Forecast.</a:t>
          </a:r>
          <a:endParaRPr/>
        </a:p>
        <a:p>
          <a:pPr algn="l">
            <a:defRPr sz="900">
              <a:solidFill>
                <a:srgbClr val="000000"/>
              </a:solidFill>
              <a:latin typeface="Gill Sans MT"/>
            </a:defRPr>
          </a:pPr>
          <a:endParaRPr lang="en-US" sz="900" baseline="0">
            <a:solidFill>
              <a:sysClr val="windowText" lastClr="000000"/>
            </a:solidFill>
            <a:effectLst/>
            <a:latin typeface="Gill Sans MT" pitchFamily="34" charset="0"/>
          </a:endParaRPr>
        </a:p>
        <a:p>
          <a:pPr algn="l">
            <a:defRPr sz="900">
              <a:solidFill>
                <a:srgbClr val="000000"/>
              </a:solidFill>
              <a:latin typeface="Gill Sans MT"/>
            </a:defRPr>
          </a:pPr>
          <a:r>
            <a:rPr sz="900">
              <a:solidFill>
                <a:sysClr val="windowText" lastClr="000000"/>
              </a:solidFill>
              <a:latin typeface="Gill Sans MT"/>
            </a:rPr>
            <a:t>The</a:t>
          </a:r>
          <a:r>
            <a:rPr sz="900">
              <a:solidFill>
                <a:sysClr val="windowText" lastClr="000000"/>
              </a:solidFill>
              <a:latin typeface="Gill Sans MT"/>
            </a:rPr>
            <a:t> included growth rate is just a starting point, if you can provide a more accurate prediction for each month, unlock the sheet (see Directions) and change the value for that month. Please note that you will no longer have a formula in that cell once you change the value, so you may want to save a copy of this spreadsheet under a different name before doing so. </a:t>
          </a:r>
          <a:endParaRPr lang="en-US" sz="900">
            <a:solidFill>
              <a:sysClr val="windowText" lastClr="000000"/>
            </a:solidFill>
            <a:effectLst/>
            <a:latin typeface="Gill Sans MT" pitchFamily="34" charset="0"/>
          </a:endParaRPr>
        </a:p>
        <a:p>
          <a:pPr algn="l">
            <a:defRPr sz="900">
              <a:solidFill>
                <a:srgbClr val="000000"/>
              </a:solidFill>
              <a:latin typeface="Gill Sans MT"/>
            </a:defRPr>
          </a:pPr>
          <a:endParaRPr lang="en-US" sz="900">
            <a:solidFill>
              <a:sysClr val="windowText" lastClr="000000"/>
            </a:solidFill>
          </a:endParaRP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editAs="absolute">
    <xdr:from>
      <xdr:col>3</xdr:col>
      <xdr:colOff>457200</xdr:colOff>
      <xdr:row>1</xdr:row>
      <xdr:rowOff>121126</xdr:rowOff>
    </xdr:from>
    <xdr:to>
      <xdr:col>14</xdr:col>
      <xdr:colOff>733426</xdr:colOff>
      <xdr:row>4</xdr:row>
      <xdr:rowOff>28575</xdr:rowOff>
    </xdr:to>
    <xdr:sp>
      <xdr:nvSpPr>
        <xdr:cNvPr id="2" name="TextBox 1"/>
        <xdr:cNvSpPr txBox="1">
          <a:spLocks noChangeAspect="0"/>
        </xdr:cNvSpPr>
      </xdr:nvSpPr>
      <xdr:spPr>
        <a:xfrm>
          <a:off x="3981450" y="273526"/>
          <a:ext cx="7458076" cy="555149"/>
        </a:xfrm>
        <a:prstGeom prst="rect">
          <a:avLst/>
        </a:prstGeom>
        <a:solidFill>
          <a:schemeClr val="bg1"/>
        </a:solidFill>
        <a:ln w="57150" cmpd="sng">
          <a:solidFill>
            <a:srgbClr val="44c8f5"/>
          </a:solidFill>
        </a:ln>
      </xdr:spPr>
      <xdr:style>
        <a:lnRef idx="0"/>
        <a:fillRef idx="0"/>
        <a:effectRef idx="0">
          <a:schemeClr val="accent1"/>
        </a:effectRef>
        <a:fontRef idx="minor">
          <a:schemeClr val="tx1"/>
        </a:fontRef>
      </xdr:style>
      <xdr:txBody>
        <a:bodyPr vertOverflow="clip" horzOverflow="clip" wrap="square" rtlCol="0" anchor="t" vert="horz"/>
        <a:lstStyle/>
        <a:p>
          <a:pPr algn="l">
            <a:defRPr sz="900">
              <a:solidFill>
                <a:srgbClr val="000000"/>
              </a:solidFill>
              <a:latin typeface="Gill Sans MT"/>
            </a:defRPr>
          </a:pPr>
          <a:r>
            <a:rPr sz="900">
              <a:solidFill>
                <a:sysClr val="windowText" lastClr="000000"/>
              </a:solidFill>
              <a:latin typeface="Gill Sans MT"/>
            </a:rPr>
            <a:t>NOTE: To only</a:t>
          </a:r>
          <a:r>
            <a:rPr sz="900">
              <a:solidFill>
                <a:sysClr val="windowText" lastClr="000000"/>
              </a:solidFill>
              <a:latin typeface="Gill Sans MT"/>
            </a:rPr>
            <a:t> view the annual total side-by-side, highlight columns C through N</a:t>
          </a:r>
          <a:endParaRPr/>
        </a:p>
        <a:p>
          <a:pPr algn="l">
            <a:defRPr sz="900">
              <a:solidFill>
                <a:srgbClr val="000000"/>
              </a:solidFill>
              <a:latin typeface="Gill Sans MT"/>
            </a:defRPr>
          </a:pPr>
          <a:r>
            <a:rPr sz="900">
              <a:solidFill>
                <a:sysClr val="windowText" lastClr="000000"/>
              </a:solidFill>
              <a:latin typeface="Gill Sans MT"/>
            </a:rPr>
            <a:t> and right-click. Then select "Hide". Use the same procedure to Hide columns P through AA. </a:t>
          </a:r>
          <a:r>
            <a:rPr sz="900">
              <a:solidFill>
                <a:sysClr val="windowText" lastClr="000000"/>
              </a:solidFill>
              <a:latin typeface="Gill Sans MT"/>
            </a:rPr>
            <a:t>To show them again, highlight columns B, O and AB, right-click and select "Unhide". </a:t>
          </a:r>
          <a:endParaRPr lang="en-US" sz="900">
            <a:solidFill>
              <a:sysClr val="windowText" lastClr="000000"/>
            </a:solidFill>
            <a:latin typeface="Gill Sans MT" pitchFamily="34" charset="0"/>
          </a:endParaRP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oneCell">
    <xdr:from>
      <xdr:col>3</xdr:col>
      <xdr:colOff>487137</xdr:colOff>
      <xdr:row>8</xdr:row>
      <xdr:rowOff>10002</xdr:rowOff>
    </xdr:from>
    <xdr:to>
      <xdr:col>8</xdr:col>
      <xdr:colOff>548640</xdr:colOff>
      <xdr:row>26</xdr:row>
      <xdr:rowOff>19049</xdr:rowOff>
    </xdr:to>
    <xdr:sp>
      <xdr:nvSpPr>
        <xdr:cNvPr id="3" name="Text Box 2"/>
        <xdr:cNvSpPr txBox="1">
          <a:spLocks noChangeAspect="1"/>
        </xdr:cNvSpPr>
      </xdr:nvSpPr>
      <xdr:spPr>
        <a:xfrm>
          <a:off x="4668612" y="1238727"/>
          <a:ext cx="3490503" cy="2961797"/>
        </a:xfrm>
        <a:prstGeom prst="rect">
          <a:avLst/>
        </a:prstGeom>
        <a:noFill/>
        <a:ln w="57150" cmpd="sng">
          <a:solidFill>
            <a:srgbClr val="44c8f5"/>
          </a:solidFill>
          <a:miter lim="800000"/>
          <a:headEnd w="med" len="med"/>
          <a:tailEnd w="med" len="med"/>
        </a:ln>
      </xdr:spPr>
      <xdr:style>
        <a:lnRef idx="2">
          <a:schemeClr val="accent1"/>
        </a:lnRef>
        <a:fillRef idx="1">
          <a:schemeClr val="accent1"/>
        </a:fillRef>
        <a:effectRef idx="0">
          <a:schemeClr val="accent1"/>
        </a:effectRef>
        <a:fontRef idx="minor">
          <a:schemeClr val="bg1"/>
        </a:fontRef>
      </xdr:style>
      <xdr:txBody>
        <a:bodyPr vertOverflow="clip" wrap="square" lIns="27432" tIns="22860" rIns="0" bIns="0" anchor="t" upright="1" vert="horz">
          <a:noAutofit/>
        </a:bodyPr>
        <a:lstStyle/>
        <a:p>
          <a:pPr algn="l" rtl="0">
            <a:defRPr sz="1000" b="1" i="0" strike="noStrike" u="none">
              <a:solidFill>
                <a:srgbClr val="000000"/>
              </a:solidFill>
              <a:latin typeface="Gill Sans MT"/>
            </a:defRPr>
          </a:pPr>
          <a:r>
            <a:rPr sz="900" b="1" i="0" strike="noStrike" u="none">
              <a:solidFill>
                <a:sysClr val="windowText" lastClr="000000"/>
              </a:solidFill>
              <a:latin typeface="Gill Sans MT"/>
            </a:rPr>
            <a:t>Breakeven Sales Level</a:t>
          </a:r>
          <a:endParaRPr/>
        </a:p>
        <a:p>
          <a:pPr algn="l" rtl="0">
            <a:defRPr sz="1000" b="1" i="0" strike="noStrike" u="none">
              <a:latin typeface="Gill Sans MT"/>
            </a:defRPr>
          </a:pPr>
          <a:endParaRPr lang="en-US" sz="900" b="1" i="0" u="sng" strike="noStrike" baseline="0">
            <a:solidFill>
              <a:sysClr val="windowText" lastClr="000000"/>
            </a:solidFill>
            <a:latin typeface="Gill Sans MT" pitchFamily="34" charset="0"/>
            <a:cs typeface="Arial"/>
          </a:endParaRPr>
        </a:p>
        <a:p>
          <a:pPr algn="l" rtl="0">
            <a:defRPr sz="1000" b="1" i="0" strike="noStrike" u="none">
              <a:solidFill>
                <a:srgbClr val="000000"/>
              </a:solidFill>
              <a:latin typeface="Gill Sans MT"/>
            </a:defRPr>
          </a:pPr>
          <a:r>
            <a:rPr sz="900" b="0" i="0" strike="noStrike" u="none">
              <a:solidFill>
                <a:sysClr val="windowText" lastClr="000000"/>
              </a:solidFill>
              <a:latin typeface="Gill Sans MT"/>
            </a:rPr>
            <a:t>The breakeven sales level represents the number of units that must be sold in order to break even. This means that revenues are equal to expenses. Any units sold beyond this quantity will allow the company to generate net income.</a:t>
          </a:r>
          <a:endParaRPr lang="en-US" sz="900" b="1" i="0" u="sng" strike="noStrike" baseline="0">
            <a:solidFill>
              <a:sysClr val="windowText" lastClr="000000"/>
            </a:solidFill>
            <a:latin typeface="Gill Sans MT" pitchFamily="34" charset="0"/>
            <a:cs typeface="Arial"/>
          </a:endParaRPr>
        </a:p>
        <a:p>
          <a:pPr algn="l" rtl="0">
            <a:defRPr sz="1000" b="1" i="0" strike="noStrike" u="none">
              <a:latin typeface="Gill Sans MT"/>
            </a:defRPr>
          </a:pPr>
          <a:endParaRPr lang="en-US" sz="900" b="0" i="0" u="none" strike="noStrike" baseline="0">
            <a:solidFill>
              <a:sysClr val="windowText" lastClr="000000"/>
            </a:solidFill>
            <a:latin typeface="Gill Sans MT" pitchFamily="34" charset="0"/>
            <a:cs typeface="Arial"/>
          </a:endParaRPr>
        </a:p>
        <a:p>
          <a:pPr algn="l" rtl="0">
            <a:defRPr sz="1000" b="1" i="0" strike="noStrike" u="none">
              <a:solidFill>
                <a:srgbClr val="000000"/>
              </a:solidFill>
              <a:latin typeface="Gill Sans MT"/>
            </a:defRPr>
          </a:pPr>
          <a:r>
            <a:rPr sz="900" b="0" i="0" strike="noStrike" u="none">
              <a:solidFill>
                <a:sysClr val="windowText" lastClr="000000"/>
              </a:solidFill>
              <a:latin typeface="Gill Sans MT"/>
            </a:rPr>
            <a:t>One of the best uses of breakeven analysis is to play with various scenarios. For instance, if you add another person to the payroll, how many extra sales dollars will be needed to recover the extra salary expense? If you borrow, how much will be needed to cover the increased principal and interest payments? Many owners, especially retailers, like to calculate a daily breakdown. This gives everyone a target to shoot at for the day.</a:t>
          </a:r>
          <a:endParaRPr/>
        </a:p>
        <a:p>
          <a:pPr algn="l" rtl="0">
            <a:defRPr sz="1000" b="1" i="0" strike="noStrike" u="none">
              <a:latin typeface="Gill Sans MT"/>
            </a:defRPr>
          </a:pPr>
          <a:endParaRPr lang="en-US" sz="900" b="0" i="0" u="none" strike="noStrike" baseline="0">
            <a:solidFill>
              <a:sysClr val="windowText" lastClr="000000"/>
            </a:solidFill>
            <a:latin typeface="Gill Sans MT" pitchFamily="34" charset="0"/>
            <a:cs typeface="Arial"/>
          </a:endParaRPr>
        </a:p>
        <a:p>
          <a:pPr algn="l" rtl="0">
            <a:defRPr sz="1000" b="1" i="0" strike="noStrike" u="none">
              <a:solidFill>
                <a:srgbClr val="000000"/>
              </a:solidFill>
              <a:latin typeface="Gill Sans MT"/>
            </a:defRPr>
          </a:pPr>
          <a:r>
            <a:rPr sz="900" b="0" i="0" strike="noStrike" u="none">
              <a:solidFill>
                <a:sysClr val="windowText" lastClr="000000"/>
              </a:solidFill>
              <a:latin typeface="Gill Sans MT"/>
            </a:rPr>
            <a:t>Equation:</a:t>
          </a:r>
          <a:endParaRPr/>
        </a:p>
        <a:p>
          <a:pPr algn="l" rtl="0">
            <a:defRPr sz="1000" b="1" i="0" strike="noStrike" u="none">
              <a:latin typeface="Gill Sans MT"/>
            </a:defRPr>
          </a:pPr>
          <a:endParaRPr lang="en-US" sz="900" b="0" i="0" u="none" strike="noStrike" baseline="0">
            <a:solidFill>
              <a:sysClr val="windowText" lastClr="000000"/>
            </a:solidFill>
            <a:latin typeface="Gill Sans MT" pitchFamily="34" charset="0"/>
            <a:cs typeface="Arial"/>
          </a:endParaRPr>
        </a:p>
        <a:p>
          <a:pPr algn="l" rtl="0">
            <a:defRPr sz="1000" b="1" i="0" strike="noStrike" u="none">
              <a:solidFill>
                <a:srgbClr val="000000"/>
              </a:solidFill>
              <a:latin typeface="Gill Sans MT"/>
            </a:defRPr>
          </a:pPr>
          <a:r>
            <a:rPr sz="900" b="0" i="0" strike="noStrike" u="none">
              <a:solidFill>
                <a:sysClr val="windowText" lastClr="000000"/>
              </a:solidFill>
              <a:latin typeface="Gill Sans MT"/>
            </a:rPr>
            <a:t>Breakeven Point = Total Fixed Costs/ (Gross Margin/Total Sales)</a:t>
          </a:r>
          <a:endParaRPr/>
        </a:p>
        <a:p>
          <a:pPr algn="l" rtl="0">
            <a:defRPr sz="1000" b="1" i="0" strike="noStrike" u="none">
              <a:latin typeface="Gill Sans MT"/>
            </a:defRPr>
          </a:pPr>
          <a:endParaRPr lang="en-US" sz="900" b="0" i="0" u="none" strike="noStrike" baseline="0">
            <a:solidFill>
              <a:sysClr val="windowText" lastClr="000000"/>
            </a:solidFill>
            <a:latin typeface="Gill Sans MT" pitchFamily="34" charset="0"/>
            <a:cs typeface="Arial"/>
          </a:endParaRPr>
        </a:p>
        <a:p>
          <a:pPr algn="l" rtl="0">
            <a:defRPr sz="1000" b="1" i="0" strike="noStrike" u="none">
              <a:latin typeface="Gill Sans MT"/>
            </a:defRPr>
          </a:pPr>
          <a:endParaRPr lang="en-US" sz="900" b="0" i="0" u="none" strike="noStrike" baseline="0">
            <a:solidFill>
              <a:sysClr val="windowText" lastClr="000000"/>
            </a:solidFill>
            <a:latin typeface="Gill Sans MT" pitchFamily="34" charset="0"/>
            <a:cs typeface="Arial"/>
          </a:endParaRPr>
        </a:p>
        <a:p>
          <a:pPr algn="l" rtl="0">
            <a:defRPr sz="1000" b="1" i="0" strike="noStrike" u="none">
              <a:latin typeface="Gill Sans MT"/>
            </a:defRPr>
          </a:pPr>
          <a:endParaRPr lang="en-US" sz="900" b="0" i="0" u="none" strike="noStrike" baseline="0">
            <a:solidFill>
              <a:sysClr val="windowText" lastClr="000000"/>
            </a:solidFill>
            <a:latin typeface="Gill Sans MT" pitchFamily="34" charset="0"/>
            <a:cs typeface="Arial"/>
          </a:endParaRPr>
        </a:p>
        <a:p>
          <a:pPr algn="l" rtl="0">
            <a:defRPr sz="1000" b="1" i="0" strike="noStrike" u="none">
              <a:latin typeface="Gill Sans MT"/>
            </a:defRPr>
          </a:pPr>
          <a:endParaRPr lang="en-US" sz="900" b="0" i="0" u="none" strike="noStrike" baseline="0">
            <a:solidFill>
              <a:sysClr val="windowText" lastClr="000000"/>
            </a:solidFill>
            <a:latin typeface="Gill Sans MT" pitchFamily="34" charset="0"/>
            <a:cs typeface="Arial"/>
          </a:endParaRPr>
        </a:p>
      </xdr:txBody>
    </xdr:sp>
    <xdr:clientData fLocksWithSheet="0" fPrintsWithSheet="0"/>
  </xdr:twoCellAnchor>
</xdr:wsDr>
</file>

<file path=xl/drawings/drawing7.xml><?xml version="1.0" encoding="utf-8"?>
<xdr:wsDr xmlns:xdr="http://schemas.openxmlformats.org/drawingml/2006/spreadsheetDrawing" xmlns:a="http://schemas.openxmlformats.org/drawingml/2006/main">
  <xdr:twoCellAnchor editAs="oneCell">
    <xdr:from>
      <xdr:col>7</xdr:col>
      <xdr:colOff>69638</xdr:colOff>
      <xdr:row>5</xdr:row>
      <xdr:rowOff>82760</xdr:rowOff>
    </xdr:from>
    <xdr:to>
      <xdr:col>9</xdr:col>
      <xdr:colOff>270510</xdr:colOff>
      <xdr:row>18</xdr:row>
      <xdr:rowOff>167640</xdr:rowOff>
    </xdr:to>
    <xdr:sp>
      <xdr:nvSpPr>
        <xdr:cNvPr id="2" name="TextBox 1"/>
        <xdr:cNvSpPr txBox="1">
          <a:spLocks noChangeAspect="1"/>
        </xdr:cNvSpPr>
      </xdr:nvSpPr>
      <xdr:spPr>
        <a:xfrm>
          <a:off x="7842038" y="844760"/>
          <a:ext cx="2544022" cy="2180380"/>
        </a:xfrm>
        <a:prstGeom prst="rect">
          <a:avLst/>
        </a:prstGeom>
        <a:noFill/>
        <a:ln w="57150" cmpd="sng">
          <a:solidFill>
            <a:srgbClr val="44c8f5"/>
          </a:solidFill>
        </a:ln>
      </xdr:spPr>
      <xdr:style>
        <a:lnRef idx="0"/>
        <a:fillRef idx="0"/>
        <a:effectRef idx="0">
          <a:schemeClr val="accent1"/>
        </a:effectRef>
        <a:fontRef idx="minor">
          <a:schemeClr val="tx1"/>
        </a:fontRef>
      </xdr:style>
      <xdr:txBody>
        <a:bodyPr vertOverflow="clip" horzOverflow="clip" wrap="square" rtlCol="0" anchor="ctr" vert="horz">
          <a:noAutofit/>
        </a:bodyPr>
        <a:lstStyle/>
        <a:p>
          <a:pPr algn="l">
            <a:defRPr sz="900" b="0">
              <a:solidFill>
                <a:srgbClr val="000000"/>
              </a:solidFill>
              <a:latin typeface="Gill Sans MT"/>
            </a:defRPr>
          </a:pPr>
          <a:r>
            <a:rPr sz="900" b="0" i="0" strike="noStrike" u="none">
              <a:solidFill>
                <a:sysClr val="windowText" lastClr="000000"/>
              </a:solidFill>
              <a:latin typeface="Gill Sans MT"/>
            </a:rPr>
            <a:t>This sheet shows some common financial ratios.</a:t>
          </a:r>
          <a:r>
            <a:rPr sz="900" b="0" i="0" strike="noStrike" u="none">
              <a:solidFill>
                <a:sysClr val="windowText" lastClr="000000"/>
              </a:solidFill>
              <a:latin typeface="Gill Sans MT"/>
            </a:rPr>
            <a:t> There is a column where you can enter industry norms. To get these, contact your local library or bank to see if they have copies of the Risk Management Association (RMA) Annual Statement or refer to industry publications and trade magazines. Speak with your mentor to ensure you are using the appropriate resources. </a:t>
          </a:r>
          <a:endParaRPr lang="en-US" sz="900" b="0">
            <a:solidFill>
              <a:sysClr val="windowText" lastClr="000000"/>
            </a:solidFill>
            <a:latin typeface="Gill Sans MT" pitchFamily="34" charset="0"/>
          </a:endParaRP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editAs="oneCell">
    <xdr:from>
      <xdr:col>5</xdr:col>
      <xdr:colOff>32365</xdr:colOff>
      <xdr:row>6</xdr:row>
      <xdr:rowOff>25399</xdr:rowOff>
    </xdr:from>
    <xdr:to>
      <xdr:col>9</xdr:col>
      <xdr:colOff>60326</xdr:colOff>
      <xdr:row>15</xdr:row>
      <xdr:rowOff>12700</xdr:rowOff>
    </xdr:to>
    <xdr:sp>
      <xdr:nvSpPr>
        <xdr:cNvPr id="2" name="TextBox 1"/>
        <xdr:cNvSpPr txBox="1">
          <a:spLocks noChangeAspect="1"/>
        </xdr:cNvSpPr>
      </xdr:nvSpPr>
      <xdr:spPr>
        <a:xfrm>
          <a:off x="8166715" y="939799"/>
          <a:ext cx="3409336" cy="1435101"/>
        </a:xfrm>
        <a:prstGeom prst="rect">
          <a:avLst/>
        </a:prstGeom>
        <a:noFill/>
        <a:ln w="57150" cmpd="sng">
          <a:solidFill>
            <a:srgbClr val="44c8f5"/>
          </a:solidFill>
        </a:ln>
      </xdr:spPr>
      <xdr:style>
        <a:lnRef idx="0"/>
        <a:fillRef idx="0"/>
        <a:effectRef idx="0">
          <a:schemeClr val="accent1"/>
        </a:effectRef>
        <a:fontRef idx="minor">
          <a:schemeClr val="tx1"/>
        </a:fontRef>
      </xdr:style>
      <xdr:txBody>
        <a:bodyPr vertOverflow="clip" horzOverflow="clip" wrap="square" rtlCol="0" anchor="ctr" vert="horz">
          <a:noAutofit/>
        </a:bodyPr>
        <a:lstStyle/>
        <a:p>
          <a:pPr algn="l">
            <a:defRPr sz="900" b="0" i="0" strike="noStrike" u="none">
              <a:solidFill>
                <a:srgbClr val="000000"/>
              </a:solidFill>
              <a:latin typeface="Gill Sans MT"/>
            </a:defRPr>
          </a:pPr>
          <a:r>
            <a:rPr sz="900" b="0" i="0" strike="noStrike" u="none">
              <a:solidFill>
                <a:sysClr val="windowText" lastClr="000000"/>
              </a:solidFill>
              <a:latin typeface="Gill Sans MT"/>
            </a:rPr>
            <a:t>This sheet performs a few tests on your numbers to see if they seem within certain reasonable ranges.</a:t>
          </a:r>
          <a:r>
            <a:rPr sz="900" b="0" i="0" strike="noStrike" u="none">
              <a:solidFill>
                <a:sysClr val="windowText" lastClr="000000"/>
              </a:solidFill>
              <a:latin typeface="Gill Sans MT"/>
            </a:rPr>
            <a:t> </a:t>
          </a:r>
          <a:r>
            <a:rPr sz="900" b="0" i="0" strike="noStrike" u="none">
              <a:solidFill>
                <a:sysClr val="windowText" lastClr="000000"/>
              </a:solidFill>
              <a:latin typeface="Gill Sans MT"/>
            </a:rPr>
            <a:t>Remember, no computer can tell whether your projections are truly well-constructed, only a human can do that.</a:t>
          </a:r>
          <a:r>
            <a:rPr sz="900" b="0" i="0" strike="noStrike" u="none">
              <a:solidFill>
                <a:sysClr val="windowText" lastClr="000000"/>
              </a:solidFill>
              <a:latin typeface="Gill Sans MT"/>
            </a:rPr>
            <a:t> </a:t>
          </a:r>
          <a:r>
            <a:rPr sz="900" b="0" i="0" strike="noStrike" u="none">
              <a:solidFill>
                <a:sysClr val="windowText" lastClr="000000"/>
              </a:solidFill>
              <a:latin typeface="Gill Sans MT"/>
            </a:rPr>
            <a:t>But these tests can at least look for values that are critically out of range.</a:t>
          </a:r>
          <a:r>
            <a:rPr sz="900" b="0" i="0" strike="noStrike" u="none">
              <a:solidFill>
                <a:sysClr val="windowText" lastClr="000000"/>
              </a:solidFill>
              <a:latin typeface="Gill Sans MT"/>
            </a:rPr>
            <a:t> </a:t>
          </a:r>
          <a:endParaRPr/>
        </a:p>
      </xdr:txBody>
    </xdr:sp>
    <xdr:clientData fPrintsWithSheet="0"/>
  </xdr:twoCellAnchor>
</xdr:wsDr>
</file>

<file path=xl/theme/theme1.xml><?xml version="1.0" encoding="utf-8"?>
<a:theme xmlns:a="http://schemas.openxmlformats.org/drawingml/2006/main" name="Office Theme">
  <a:themeElements>
    <a:clrScheme name="SCORE">
      <a:dk1>
        <a:sysClr val="windowText" lastClr="000000"/>
      </a:dk1>
      <a:lt1>
        <a:sysClr val="window" lastClr="FFFFFF"/>
      </a:lt1>
      <a:dk2>
        <a:srgbClr val="006EB7"/>
      </a:dk2>
      <a:lt2>
        <a:srgbClr val="30A1FF"/>
      </a:lt2>
      <a:accent1>
        <a:srgbClr val="6A9F42"/>
      </a:accent1>
      <a:accent2>
        <a:srgbClr val="FFD200"/>
      </a:accent2>
      <a:accent3>
        <a:srgbClr val="265288"/>
      </a:accent3>
      <a:accent4>
        <a:srgbClr val="423616"/>
      </a:accent4>
      <a:accent5>
        <a:srgbClr val="464648"/>
      </a:accent5>
      <a:accent6>
        <a:srgbClr val="BCD2E6"/>
      </a:accent6>
      <a:hlink>
        <a:srgbClr val="30A1FF"/>
      </a:hlink>
      <a:folHlink>
        <a:srgbClr val="265288"/>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Relationship Id="rId3"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7.vml"/><Relationship Id="rId3"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Relationship Id="rId3"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B7A44D28-1658-C498-4F78-97FA867AF1E5}" mc:Ignorable="x14ac xr xr2 xr3">
  <sheetPr>
    <tabColor rgb="FFF89E53"/>
    <pageSetUpPr fitToPage="1"/>
  </sheetPr>
  <dimension ref="A1:GR50000"/>
  <sheetViews>
    <sheetView showGridLines="0" topLeftCell="A22" zoomScale="150" workbookViewId="0">
      <selection activeCell="G9" sqref="G9"/>
    </sheetView>
  </sheetViews>
  <sheetFormatPr defaultRowHeight="15" defaultColWidth="8.8515625" customHeight="1"/>
  <cols>
    <col min="1" max="1" style="14" width="5.28125" customWidth="1"/>
    <col min="2" max="2" style="14" width="11.00390625" customWidth="1"/>
    <col min="3" max="3" style="14" width="28.00390625" customWidth="1"/>
    <col min="4" max="4" style="14" width="21.7109375" customWidth="1"/>
    <col min="5" max="5" style="14" width="17.28125" customWidth="1"/>
    <col min="6" max="6" style="14" width="15.57421875" customWidth="1"/>
    <col min="7" max="7" style="14" width="8.8515625" customWidth="1"/>
    <col min="8" max="8" style="14" width="9.7109375" customWidth="1"/>
    <col min="9" max="11" style="14" width="8.8515625" customWidth="1"/>
    <col min="12" max="12" style="14" width="19.140625" customWidth="1"/>
    <col min="13" max="13" style="14" width="13.57421875" customWidth="1"/>
    <col min="14" max="16" style="14" width="8.8515625" customWidth="1"/>
  </cols>
  <sheetData>
    <row r="6" ht="15" customHeight="1">
      <c r="A6" s="1"/>
      <c r="B6" s="2"/>
      <c r="C6" s="2"/>
      <c r="D6" s="2"/>
      <c r="E6" s="2"/>
      <c r="F6" s="2"/>
      <c r="G6" s="2"/>
      <c r="H6" s="2"/>
      <c r="I6" s="2"/>
      <c r="J6" s="2"/>
      <c r="K6" s="2"/>
      <c r="L6" s="2"/>
      <c r="M6" s="2"/>
      <c r="N6" s="2"/>
    </row>
    <row r="7" ht="15" customHeight="1">
      <c r="B7" s="3" t="s">
        <v>0</v>
      </c>
      <c r="C7" s="3"/>
      <c r="D7" s="3"/>
      <c r="E7" s="3"/>
      <c r="F7" s="3"/>
    </row>
    <row r="8" ht="15" customHeight="1">
      <c r="B8" s="4"/>
      <c r="M8" s="5"/>
    </row>
    <row r="9" ht="17.25" customHeight="1">
      <c r="B9" s="4"/>
      <c r="C9" s="6" t="s">
        <v>1</v>
      </c>
      <c r="D9" s="6" t="s">
        <v>2</v>
      </c>
      <c r="E9" s="6" t="s">
        <v>3</v>
      </c>
      <c r="F9" s="6" t="s">
        <v>4</v>
      </c>
      <c r="M9" s="5"/>
    </row>
    <row r="10" ht="15.75" customHeight="1">
      <c r="B10" s="4"/>
      <c r="C10" s="7"/>
      <c r="D10" s="7"/>
      <c r="E10" s="7"/>
      <c r="F10" s="7"/>
      <c r="M10" s="5"/>
    </row>
    <row r="12" ht="15" customHeight="1">
      <c r="B12" s="3" t="s">
        <v>5</v>
      </c>
      <c r="C12" s="3"/>
      <c r="D12" s="3"/>
      <c r="E12" s="3"/>
      <c r="I12" s="8"/>
    </row>
    <row r="33" ht="15" customHeight="1">
      <c r="L33" s="9"/>
      <c r="M33" s="9"/>
      <c r="N33" s="9"/>
      <c r="O33" s="9"/>
      <c r="P33" s="9"/>
    </row>
    <row r="34" ht="15" customHeight="1">
      <c r="L34" s="9"/>
      <c r="M34" s="9"/>
      <c r="N34" s="9"/>
      <c r="O34" s="9"/>
      <c r="P34" s="9"/>
    </row>
    <row r="35" ht="15" customHeight="1">
      <c r="L35" s="9"/>
      <c r="M35" s="9"/>
      <c r="N35" s="9"/>
      <c r="O35" s="9"/>
      <c r="P35" s="9"/>
    </row>
    <row r="36" ht="15" customHeight="1">
      <c r="A36" s="10"/>
      <c r="B36" s="11"/>
      <c r="C36" s="12">
        <f>IF(ISBLANK(E10),-10000,MONTH(DATEVALUE(E10&amp;" 1")))</f>
        <v>-10000</v>
      </c>
      <c r="D36" s="11"/>
      <c r="E36" s="11"/>
      <c r="F36" s="11"/>
      <c r="G36" s="11"/>
      <c r="H36" s="11"/>
      <c r="I36" s="11"/>
      <c r="J36" s="11"/>
      <c r="K36" s="11"/>
      <c r="L36" s="11"/>
      <c r="M36" s="11"/>
      <c r="N36" s="9"/>
      <c r="O36" s="9"/>
      <c r="P36" s="9"/>
    </row>
    <row r="37" ht="15" customHeight="1">
      <c r="A37" s="10"/>
      <c r="B37" s="11"/>
      <c r="C37" s="12"/>
      <c r="D37" s="11"/>
      <c r="E37" s="11"/>
      <c r="F37" s="11"/>
      <c r="G37" s="11"/>
      <c r="H37" s="11"/>
      <c r="I37" s="11"/>
      <c r="J37" s="11"/>
      <c r="K37" s="11"/>
      <c r="L37" s="11"/>
      <c r="M37" s="11"/>
      <c r="N37" s="9"/>
      <c r="O37" s="9"/>
      <c r="P37" s="9"/>
    </row>
    <row r="38" ht="15" customHeight="1">
      <c r="A38" s="10"/>
      <c r="B38" s="11" t="str">
        <f>IF(Directions!$C$36&gt;0,CHOOSE(Directions!$C$36,"January","February","March","April","May","June","July","August","September","October","November","December"),"Month 1")</f>
        <v>Month 1</v>
      </c>
      <c r="C38" s="12" t="str">
        <f>IF(Directions!$C$36+1&gt;12,CHOOSE(Directions!$C$36+1-12,"January","February","March","April","May","June","July","August","September","October","November","December"),IF(Directions!$C$36&lt;0,"Month 2",(CHOOSE(Directions!$C$36+1,"January","February","March","April","May","June","July","August","September","October","November","December"))))</f>
        <v>Month 2</v>
      </c>
      <c r="D38" s="12" t="str">
        <f>IF(Directions!$C$36+2&gt;12,CHOOSE(Directions!$C$36+2-12,"January","February","March","April","May","June","July","August","September","October","November","December"),IF(Directions!$C$36&lt;0,"Month 3",CHOOSE(Directions!$C$36+2,"January","February","March","April","May","June","July","August","September","October","November","December")))</f>
        <v>Month 3</v>
      </c>
      <c r="E38" s="12" t="str">
        <f>IF(Directions!$C$36+3&gt;12,CHOOSE(Directions!$C$36+3-12,"January","February","March","April","May","June","July","August","September","October","November","December"),IF(Directions!$C$36&lt;0,"Month 4",CHOOSE(Directions!$C$36+3,"January","February","March","April","May","June","July","August","September","October","November","December")))</f>
        <v>Month 4</v>
      </c>
      <c r="F38" s="12" t="str">
        <f>IF(Directions!$C$36+4&gt;12,CHOOSE(Directions!$C$36+4-12,"January","February","March","April","May","June","July","August","September","October","November","December"),IF(Directions!$C$36&lt;0,"Month 5",CHOOSE(Directions!$C$36+4,"January","February","March","April","May","June","July","August","September","October","November","December")))</f>
        <v>Month 5</v>
      </c>
      <c r="G38" s="12" t="str">
        <f>IF(Directions!$C$36+5&gt;12,CHOOSE(Directions!$C$36+5-12,"January","February","March","April","May","June","July","August","September","October","November","December"),IF(Directions!$C$36&lt;0,"Month 6",CHOOSE(Directions!$C$36+5,"January","February","March","April","May","June","July","August","September","October","November","December")))</f>
        <v>Month 6</v>
      </c>
      <c r="H38" s="12" t="str">
        <f>IF(Directions!$C$36+6&gt;12,CHOOSE(Directions!$C$36+6-12,"January","February","March","April","May","June","July","August","September","October","November","December"),IF(Directions!$C$36&lt;0,"Month 7",CHOOSE(Directions!$C$36+6,"January","February","March","April","May","June","July","August","September","October","November","December")))</f>
        <v>Month 7</v>
      </c>
      <c r="I38" s="12" t="str">
        <f>IF(Directions!$C$36+7&gt;12,CHOOSE(Directions!$C$36+7-12,"January","February","March","April","May","June","July","August","September","October","November","December"),IF(Directions!$C$36&lt;0,"Month 8",CHOOSE(Directions!$C$36+7,"January","February","March","April","May","June","July","August","September","October","November","December")))</f>
        <v>Month 8</v>
      </c>
      <c r="J38" s="12" t="str">
        <f>IF(Directions!$C$36+8&gt;12,CHOOSE(Directions!$C$36+8-12,"January","February","March","April","May","June","July","August","September","October","November","December"),IF(Directions!$C$36&lt;0,"Month 9",CHOOSE(Directions!$C$36+8,"January","February","March","April","May","June","July","August","September","October","November","December")))</f>
        <v>Month 9</v>
      </c>
      <c r="K38" s="12" t="str">
        <f>IF(Directions!$C$36+9&gt;12,CHOOSE(Directions!$C$36+9-12,"January","February","March","April","May","June","July","August","September","October","November","December"),IF(Directions!$C$36&lt;0,"Month 10",CHOOSE(Directions!$C$36+9,"January","February","March","April","May","June","July","August","September","October","November","December")))</f>
        <v>Month 10</v>
      </c>
      <c r="L38" s="12" t="str">
        <f>IF(Directions!$C$36+10&gt;12,CHOOSE(Directions!$C$36+10-12,"January","February","March","April","May","June","July","August","September","October","November","December"),IF(Directions!$C$36&lt;0,"Month 11",CHOOSE(Directions!$C$36+10,"January","February","March","April","May","June","July","August","September","October","November","December")))</f>
        <v>Month 11</v>
      </c>
      <c r="M38" s="12" t="str">
        <f>IF(Directions!$C$36+11&gt;12,CHOOSE(Directions!$C$36+11-12,"January","February","March","April","May","June","July","August","September","October","November","December"),IF(Directions!$C$36&lt;0,"Month 12",CHOOSE(Directions!$C$36+11,"January","February","March","April","May","June","July","August","September","October","November","December")))</f>
        <v>Month 12</v>
      </c>
      <c r="N38" s="9"/>
      <c r="O38" s="9"/>
      <c r="P38" s="9"/>
    </row>
    <row r="39" ht="15" customHeight="1">
      <c r="A39" s="10"/>
      <c r="B39" s="10"/>
      <c r="C39" s="12"/>
      <c r="D39" s="10"/>
      <c r="E39" s="10"/>
      <c r="F39" s="10"/>
      <c r="G39" s="10"/>
      <c r="H39" s="10"/>
      <c r="I39" s="10"/>
      <c r="J39" s="10"/>
      <c r="K39" s="10"/>
      <c r="L39" s="10"/>
      <c r="M39" s="10"/>
      <c r="N39" s="9"/>
      <c r="O39" s="9"/>
      <c r="P39" s="9"/>
    </row>
    <row r="40" ht="15" customHeight="1">
      <c r="A40" s="10"/>
      <c r="B40" s="10"/>
      <c r="C40" s="10"/>
      <c r="D40" s="10"/>
      <c r="E40" s="10"/>
      <c r="F40" s="10"/>
      <c r="G40" s="10"/>
      <c r="H40" s="10"/>
      <c r="I40" s="10"/>
      <c r="J40" s="10"/>
      <c r="K40" s="10"/>
      <c r="L40" s="10"/>
      <c r="M40" s="10"/>
      <c r="N40" s="9"/>
      <c r="O40" s="9"/>
      <c r="P40" s="9"/>
    </row>
    <row r="41" ht="15" customHeight="1">
      <c r="B41" s="9"/>
      <c r="C41" s="9"/>
      <c r="D41" s="9"/>
      <c r="E41" s="9"/>
      <c r="F41" s="9"/>
      <c r="G41" s="9"/>
      <c r="H41" s="9"/>
      <c r="I41" s="9"/>
      <c r="J41" s="9"/>
      <c r="K41" s="9"/>
      <c r="L41" s="9"/>
      <c r="M41" s="9"/>
      <c r="N41" s="9"/>
      <c r="O41" s="9"/>
      <c r="P41" s="9"/>
    </row>
    <row r="42" ht="15" customHeight="1">
      <c r="L42" s="9"/>
      <c r="M42" s="9"/>
      <c r="N42" s="9"/>
      <c r="O42" s="9"/>
      <c r="P42" s="9"/>
    </row>
    <row r="44" ht="15" customHeight="1">
      <c r="E44" s="13"/>
    </row>
    <row r="45" ht="15" customHeight="1">
      <c r="B45" s="3"/>
      <c r="C45" s="3"/>
      <c r="D45" s="3"/>
    </row>
    <row r="47" ht="15" customHeight="1">
      <c r="B47" s="13"/>
      <c r="C47" s="13"/>
      <c r="D47" s="13"/>
    </row>
  </sheetData>
  <sheetProtection formatColumns="0" formatRows="0"/>
  <mergeCells>
    <mergeCell ref="B12:E12"/>
    <mergeCell ref="B45:D45"/>
    <mergeCell ref="B7:F7"/>
  </mergeCells>
  <conditionalFormatting sqref="C10:F10">
    <cfRule type="expression" dxfId="0" priority="7" text="null">
      <formula>LEN(TRIM(C10))=0</formula>
    </cfRule>
  </conditionalFormatting>
  <printOptions horizontalCentered="1"/>
  <pageMargins left="0.25" right="0.25" top="0.75" bottom="0.75" header="0.3" footer="0.3"/>
  <pageSetup useFirstPageNumber="1" paperSize="1" scale="69" pageOrder="downThenOver" orientation="landscape"/>
  <headerFooter scaleWithDoc="0">
    <oddHeader>&amp;L&amp;9&amp;G&amp;C&amp;R&amp;G</oddHeader>
  </headerFooter>
  <drawing r:id="rId1"/>
  <legacyDrawingHF r:id="rId2"/>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B50A7A68-6338-AED8-16B8-0888B681FF9C}" mc:Ignorable="x14ac xr xr2 xr3">
  <sheetPr>
    <tabColor rgb="FFFFC95B"/>
    <pageSetUpPr fitToPage="1"/>
  </sheetPr>
  <dimension ref="A1:GR50000"/>
  <sheetViews>
    <sheetView topLeftCell="A25" zoomScale="150" workbookViewId="0">
      <selection activeCell="A1" sqref="A1"/>
    </sheetView>
  </sheetViews>
  <sheetFormatPr defaultRowHeight="12.997499999999997" defaultColWidth="8.8515625" customHeight="1"/>
  <cols>
    <col min="1" max="1" style="20" width="8.8515625" customWidth="1"/>
    <col min="2" max="2" style="20" width="35.00390625" customWidth="1"/>
    <col min="3" max="3" style="20" width="20.7109375" customWidth="1"/>
    <col min="4" max="4" style="20" width="21.57421875" customWidth="1"/>
    <col min="5" max="5" style="20" width="11.140625" customWidth="1"/>
    <col min="6" max="6" style="20" width="22.28125" customWidth="1"/>
    <col min="7" max="7" style="20" width="19.7109375" customWidth="1"/>
    <col min="8" max="8" style="20" width="16.57421875" customWidth="1"/>
    <col min="9" max="12" style="20" width="8.8515625" customWidth="1"/>
  </cols>
  <sheetData>
    <row r="2" ht="12.997499999999997" customHeight="1">
      <c r="B2" s="15" t="s">
        <v>18</v>
      </c>
      <c r="C2" s="15"/>
      <c r="D2" s="15"/>
    </row>
    <row r="3" ht="12.997499999999997" customHeight="1">
      <c r="B3" s="16"/>
      <c r="C3" s="16"/>
    </row>
    <row r="4" ht="18" customHeight="1">
      <c r="B4" s="17" t="s">
        <v>19</v>
      </c>
      <c r="C4" s="18" t="s">
        <v>20</v>
      </c>
    </row>
    <row r="5" ht="12.997499999999997" customHeight="1">
      <c r="B5" s="19" t="str">
        <f>IF(ISBLANK(Directions!C10),"Owner",Directions!C10)</f>
        <v>Owner</v>
      </c>
      <c r="C5" s="20" t="str">
        <f>IF(ISBLANK(Directions!D10),"Company 1",Directions!D10)</f>
        <v>Company 1</v>
      </c>
    </row>
    <row r="6" ht="12.997499999999997" customHeight="1">
      <c r="D6" s="19"/>
      <c r="E6" s="19"/>
      <c r="F6" s="19"/>
      <c r="G6" s="19"/>
    </row>
    <row r="7" ht="17.25" customHeight="1">
      <c r="B7" s="21" t="s">
        <v>23</v>
      </c>
      <c r="C7" s="21" t="s">
        <v>24</v>
      </c>
      <c r="D7" s="21" t="s">
        <v>25</v>
      </c>
      <c r="E7" s="21" t="s">
        <v>26</v>
      </c>
      <c r="F7" s="21"/>
      <c r="G7" s="22"/>
    </row>
    <row r="8" ht="14.25" customHeight="1">
      <c r="B8" s="23"/>
      <c r="C8" s="24"/>
      <c r="D8" s="24"/>
      <c r="E8" s="25"/>
      <c r="F8" s="26"/>
      <c r="G8" s="27"/>
    </row>
    <row r="9" ht="12.997499999999997" customHeight="1">
      <c r="B9" s="28" t="s">
        <v>27</v>
      </c>
      <c r="C9" s="29"/>
      <c r="D9" s="30" t="s">
        <v>28</v>
      </c>
      <c r="E9" s="31"/>
      <c r="F9" s="32"/>
      <c r="G9" s="27"/>
    </row>
    <row r="10" ht="12.997499999999997" customHeight="1">
      <c r="B10" s="28" t="s">
        <v>29</v>
      </c>
      <c r="C10" s="33"/>
      <c r="D10" s="34">
        <v>20</v>
      </c>
      <c r="E10" s="35"/>
      <c r="F10" s="36"/>
      <c r="G10" s="37"/>
    </row>
    <row r="11" ht="12.997499999999997" customHeight="1">
      <c r="B11" s="28" t="s">
        <v>30</v>
      </c>
      <c r="C11" s="33"/>
      <c r="D11" s="34">
        <v>7</v>
      </c>
      <c r="E11" s="35"/>
      <c r="F11" s="36"/>
      <c r="G11" s="37"/>
    </row>
    <row r="12" ht="12.997499999999997" customHeight="1">
      <c r="B12" s="28" t="s">
        <v>31</v>
      </c>
      <c r="C12" s="33"/>
      <c r="D12" s="34">
        <v>7</v>
      </c>
      <c r="E12" s="35"/>
      <c r="F12" s="36"/>
      <c r="G12" s="37"/>
    </row>
    <row r="13" ht="12.997499999999997" customHeight="1">
      <c r="B13" s="28" t="s">
        <v>32</v>
      </c>
      <c r="C13" s="33"/>
      <c r="D13" s="34">
        <v>5</v>
      </c>
      <c r="E13" s="35"/>
      <c r="F13" s="36"/>
      <c r="G13" s="37"/>
    </row>
    <row r="14" ht="12.997499999999997" customHeight="1">
      <c r="B14" s="28" t="s">
        <v>33</v>
      </c>
      <c r="C14" s="33"/>
      <c r="D14" s="34">
        <v>5</v>
      </c>
      <c r="E14" s="35"/>
      <c r="F14" s="36"/>
      <c r="G14" s="37"/>
    </row>
    <row r="15" ht="12.997499999999997" customHeight="1">
      <c r="B15" s="28" t="s">
        <v>34</v>
      </c>
      <c r="C15" s="33"/>
      <c r="D15" s="34">
        <v>5</v>
      </c>
      <c r="E15" s="35"/>
      <c r="F15" s="36"/>
      <c r="G15" s="37"/>
    </row>
    <row r="16" ht="12.997499999999997" customHeight="1">
      <c r="B16" s="38" t="s">
        <v>35</v>
      </c>
      <c r="C16" s="39">
        <f>SUM(C9:C15)</f>
        <v>0</v>
      </c>
      <c r="D16" s="40"/>
      <c r="E16" s="41"/>
      <c r="F16" s="36"/>
      <c r="G16" s="37"/>
    </row>
    <row r="17" ht="12.997499999999997" customHeight="1">
      <c r="B17" s="42"/>
      <c r="C17" s="43"/>
      <c r="D17" s="43"/>
      <c r="E17" s="43"/>
      <c r="F17" s="44"/>
      <c r="G17" s="45"/>
    </row>
    <row r="18" ht="14.25" customHeight="1">
      <c r="B18" s="46" t="s">
        <v>36</v>
      </c>
      <c r="C18" s="47" t="s">
        <v>24</v>
      </c>
      <c r="D18" s="48" t="s">
        <v>26</v>
      </c>
      <c r="E18" s="49"/>
      <c r="F18" s="50"/>
    </row>
    <row r="19" ht="14.25" customHeight="1">
      <c r="B19" s="51" t="s">
        <v>37</v>
      </c>
      <c r="C19" s="52"/>
      <c r="D19" s="53"/>
      <c r="E19" s="54"/>
      <c r="F19" s="55"/>
    </row>
    <row r="20" ht="12.997499999999997" customHeight="1">
      <c r="B20" s="38" t="s">
        <v>38</v>
      </c>
      <c r="C20" s="33"/>
      <c r="D20" s="56"/>
      <c r="E20" s="57"/>
      <c r="F20" s="58"/>
    </row>
    <row r="21" ht="12.997499999999997" customHeight="1">
      <c r="B21" s="38" t="s">
        <v>39</v>
      </c>
      <c r="C21" s="33"/>
      <c r="D21" s="56"/>
      <c r="E21" s="57"/>
      <c r="F21" s="58"/>
    </row>
    <row r="22" ht="12.997499999999997" customHeight="1">
      <c r="B22" s="38" t="s">
        <v>40</v>
      </c>
      <c r="C22" s="33"/>
      <c r="D22" s="56"/>
      <c r="E22" s="57"/>
      <c r="F22" s="58"/>
    </row>
    <row r="23" ht="12.997499999999997" customHeight="1">
      <c r="B23" s="38" t="s">
        <v>41</v>
      </c>
      <c r="C23" s="33"/>
      <c r="D23" s="56"/>
      <c r="E23" s="57"/>
      <c r="F23" s="58"/>
    </row>
    <row r="24" ht="12.997499999999997" customHeight="1">
      <c r="B24" s="38" t="s">
        <v>42</v>
      </c>
      <c r="C24" s="33"/>
      <c r="D24" s="56"/>
      <c r="E24" s="57"/>
      <c r="F24" s="58"/>
    </row>
    <row r="25" ht="12.997499999999997" customHeight="1">
      <c r="B25" s="38" t="s">
        <v>43</v>
      </c>
      <c r="C25" s="33"/>
      <c r="D25" s="56"/>
      <c r="E25" s="57"/>
      <c r="F25" s="58"/>
      <c r="G25" s="59"/>
    </row>
    <row r="26" ht="12.997499999999997" customHeight="1">
      <c r="B26" s="38" t="s">
        <v>44</v>
      </c>
      <c r="C26" s="33"/>
      <c r="D26" s="56"/>
      <c r="E26" s="57"/>
      <c r="F26" s="58"/>
    </row>
    <row r="27" ht="12.997499999999997" customHeight="1">
      <c r="B27" s="38" t="s">
        <v>45</v>
      </c>
      <c r="C27" s="33"/>
      <c r="D27" s="56"/>
      <c r="E27" s="57"/>
      <c r="F27" s="58"/>
    </row>
    <row r="28" ht="12.997499999999997" customHeight="1">
      <c r="B28" s="38" t="s">
        <v>46</v>
      </c>
      <c r="C28" s="33"/>
      <c r="D28" s="56"/>
      <c r="E28" s="57"/>
      <c r="F28" s="58"/>
    </row>
    <row r="29" ht="12.997499999999997" customHeight="1">
      <c r="B29" s="60" t="s">
        <v>47</v>
      </c>
      <c r="C29" s="33"/>
      <c r="D29" s="56"/>
      <c r="E29" s="57"/>
      <c r="F29" s="58"/>
    </row>
    <row r="30" ht="12.997499999999997" customHeight="1">
      <c r="B30" s="38" t="s">
        <v>48</v>
      </c>
      <c r="C30" s="61">
        <f>SUM(C19:C29)</f>
        <v>0</v>
      </c>
      <c r="D30" s="56"/>
      <c r="E30" s="57"/>
      <c r="F30" s="58"/>
    </row>
    <row r="31" ht="14.25" customHeight="1">
      <c r="B31" s="38" t="s">
        <v>49</v>
      </c>
      <c r="C31" s="62">
        <f>C16+C30</f>
        <v>0</v>
      </c>
      <c r="D31" s="63"/>
      <c r="E31" s="64"/>
      <c r="F31" s="65"/>
    </row>
    <row r="32" ht="12.997499999999997" customHeight="1">
      <c r="B32" s="17"/>
      <c r="C32" s="66"/>
      <c r="D32" s="19"/>
      <c r="E32" s="19"/>
      <c r="F32" s="67"/>
      <c r="G32" s="67"/>
    </row>
    <row r="33" ht="15" customHeight="1">
      <c r="B33" s="21" t="s">
        <v>50</v>
      </c>
      <c r="C33" s="21" t="s">
        <v>51</v>
      </c>
      <c r="D33" s="21" t="s">
        <v>52</v>
      </c>
      <c r="E33" s="21" t="s">
        <v>53</v>
      </c>
      <c r="F33" s="21" t="s">
        <v>54</v>
      </c>
      <c r="G33" s="21" t="s">
        <v>55</v>
      </c>
      <c r="H33" s="21" t="s">
        <v>26</v>
      </c>
    </row>
    <row r="34" ht="14.25" customHeight="1">
      <c r="B34" s="51" t="s">
        <v>56</v>
      </c>
      <c r="C34" s="68">
        <f t="shared" si="0" ref="C34:C42">IF($C$31=0,0,D34/$C$31)</f>
        <v>0</v>
      </c>
      <c r="D34" s="52"/>
      <c r="E34" s="24"/>
      <c r="F34" s="69"/>
      <c r="G34" s="24"/>
      <c r="H34" s="70"/>
    </row>
    <row r="35" ht="12.997499999999997" customHeight="1">
      <c r="B35" s="38" t="s">
        <v>57</v>
      </c>
      <c r="C35" s="71">
        <f t="shared" si="0"/>
        <v>0</v>
      </c>
      <c r="D35" s="33"/>
      <c r="E35" s="72"/>
      <c r="F35" s="72"/>
      <c r="G35" s="72"/>
      <c r="H35" s="73"/>
    </row>
    <row r="36" ht="12.997499999999997" customHeight="1">
      <c r="B36" s="38" t="s">
        <v>58</v>
      </c>
      <c r="C36" s="71"/>
      <c r="D36" s="72"/>
      <c r="E36" s="72"/>
      <c r="F36" s="72"/>
      <c r="G36" s="72"/>
      <c r="H36" s="73"/>
    </row>
    <row r="37" ht="12.997499999999997" customHeight="1">
      <c r="B37" s="74" t="s">
        <v>59</v>
      </c>
      <c r="C37" s="71">
        <f t="shared" si="0"/>
        <v>0</v>
      </c>
      <c r="D37" s="33"/>
      <c r="E37" s="75">
        <v>0.09</v>
      </c>
      <c r="F37" s="76">
        <v>84</v>
      </c>
      <c r="G37" s="77">
        <f t="shared" si="1" ref="G37:G41">PMT(E37/12,F37,-D37)</f>
        <v>0</v>
      </c>
      <c r="H37" s="73"/>
    </row>
    <row r="38" ht="12.997499999999997" customHeight="1">
      <c r="B38" s="74" t="s">
        <v>60</v>
      </c>
      <c r="C38" s="71">
        <f t="shared" si="0"/>
        <v>0</v>
      </c>
      <c r="D38" s="33"/>
      <c r="E38" s="75">
        <v>0.09</v>
      </c>
      <c r="F38" s="76">
        <v>240</v>
      </c>
      <c r="G38" s="77">
        <f t="shared" si="1"/>
        <v>0</v>
      </c>
      <c r="H38" s="73"/>
      <c r="J38" s="78" t="s">
        <v>61</v>
      </c>
      <c r="K38" s="78"/>
      <c r="L38" s="78"/>
    </row>
    <row r="39" ht="12.997499999999997" customHeight="1">
      <c r="B39" s="74" t="s">
        <v>62</v>
      </c>
      <c r="C39" s="71">
        <f t="shared" si="0"/>
        <v>0</v>
      </c>
      <c r="D39" s="33"/>
      <c r="E39" s="75">
        <v>0.07</v>
      </c>
      <c r="F39" s="76">
        <v>60</v>
      </c>
      <c r="G39" s="77">
        <f t="shared" si="1"/>
        <v>0</v>
      </c>
      <c r="H39" s="73"/>
      <c r="J39" s="78"/>
      <c r="K39" s="78"/>
      <c r="L39" s="78"/>
    </row>
    <row r="40" ht="12.997499999999997" customHeight="1">
      <c r="B40" s="74" t="s">
        <v>63</v>
      </c>
      <c r="C40" s="71">
        <f t="shared" si="0"/>
        <v>0</v>
      </c>
      <c r="D40" s="33"/>
      <c r="E40" s="75">
        <v>0.06</v>
      </c>
      <c r="F40" s="76">
        <v>48</v>
      </c>
      <c r="G40" s="77">
        <f t="shared" si="1"/>
        <v>0</v>
      </c>
      <c r="H40" s="73"/>
      <c r="J40" s="78"/>
      <c r="K40" s="78"/>
      <c r="L40" s="78"/>
    </row>
    <row r="41" ht="12.997499999999997" customHeight="1">
      <c r="B41" s="74" t="s">
        <v>64</v>
      </c>
      <c r="C41" s="71">
        <f t="shared" si="0"/>
        <v>0</v>
      </c>
      <c r="D41" s="33"/>
      <c r="E41" s="75">
        <v>0.05</v>
      </c>
      <c r="F41" s="76">
        <v>36</v>
      </c>
      <c r="G41" s="77">
        <f t="shared" si="1"/>
        <v>0</v>
      </c>
      <c r="H41" s="79"/>
      <c r="J41" s="78"/>
      <c r="K41" s="78"/>
      <c r="L41" s="78"/>
    </row>
    <row r="42" ht="12.997499999999997" customHeight="1">
      <c r="B42" s="38" t="s">
        <v>65</v>
      </c>
      <c r="C42" s="71">
        <f t="shared" si="0"/>
        <v>0</v>
      </c>
      <c r="D42" s="80">
        <f>SUM(D34:D41)</f>
        <v>0</v>
      </c>
      <c r="E42" s="81" t="s">
        <v>66</v>
      </c>
      <c r="F42" s="82"/>
      <c r="G42" s="61">
        <f>SUM(G37:G41)</f>
        <v>0</v>
      </c>
      <c r="H42" s="73"/>
    </row>
    <row r="43" ht="12.997499999999997" customHeight="1">
      <c r="B43" s="38" t="s">
        <v>67</v>
      </c>
      <c r="C43" s="38"/>
      <c r="D43" s="80">
        <f>C31-D42</f>
        <v>0</v>
      </c>
      <c r="E43" s="42" t="str">
        <f>IF(D43&gt;0,"You require more funding (Not Balanced)",IF(D43&lt;0,"Your funding exceeds your needs (Not Balanced)","You are fully funded (Balanced)"))</f>
        <v>You are fully funded (Balanced)</v>
      </c>
      <c r="F43" s="43"/>
      <c r="G43" s="44"/>
      <c r="H43" s="70"/>
    </row>
    <row r="44" ht="12.997499999999997" customHeight="1">
      <c r="B44" s="83" t="s">
        <v>69</v>
      </c>
      <c r="C44" s="17"/>
      <c r="D44" s="17"/>
      <c r="E44" s="17"/>
      <c r="F44" s="17"/>
      <c r="G44" s="17"/>
    </row>
    <row r="45" ht="12.997499999999997" customHeight="1">
      <c r="B45" s="19"/>
      <c r="C45" s="17"/>
      <c r="D45" s="19"/>
      <c r="E45" s="19"/>
      <c r="F45" s="19"/>
    </row>
    <row r="46" ht="14.25" customHeight="1">
      <c r="B46" s="84" t="s">
        <v>70</v>
      </c>
      <c r="C46" s="84"/>
      <c r="D46" s="19"/>
      <c r="E46" s="19"/>
      <c r="F46" s="19"/>
      <c r="G46" s="19"/>
    </row>
    <row r="47" ht="14.25" customHeight="1">
      <c r="B47" s="24" t="s">
        <v>71</v>
      </c>
      <c r="C47" s="85">
        <v>0</v>
      </c>
      <c r="D47" s="19"/>
      <c r="E47" s="86"/>
      <c r="F47" s="19"/>
      <c r="G47" s="67"/>
    </row>
    <row r="48" ht="12.997499999999997" customHeight="1">
      <c r="B48" s="87" t="s">
        <v>72</v>
      </c>
      <c r="C48" s="77">
        <v>0</v>
      </c>
      <c r="D48" s="19"/>
      <c r="E48" s="86"/>
      <c r="F48" s="19"/>
      <c r="G48" s="67"/>
    </row>
    <row r="49" ht="12.997499999999997" customHeight="1">
      <c r="B49" s="87" t="s">
        <v>73</v>
      </c>
      <c r="C49" s="77">
        <v>0</v>
      </c>
      <c r="D49" s="19"/>
      <c r="E49" s="19"/>
      <c r="F49" s="19"/>
      <c r="G49" s="19"/>
    </row>
    <row r="50" ht="12.997499999999997" customHeight="1">
      <c r="B50" s="87" t="s">
        <v>74</v>
      </c>
      <c r="C50" s="77">
        <v>0</v>
      </c>
      <c r="D50" s="19"/>
      <c r="E50" s="19"/>
      <c r="F50" s="19"/>
      <c r="G50" s="19"/>
    </row>
    <row r="51" ht="12.997499999999997" customHeight="1">
      <c r="B51" s="87" t="s">
        <v>75</v>
      </c>
      <c r="C51" s="77">
        <v>0</v>
      </c>
    </row>
    <row r="52" ht="12.997499999999997" customHeight="1">
      <c r="B52" s="38" t="s">
        <v>76</v>
      </c>
      <c r="C52" s="80">
        <f>(C47+C48+C49-C50-C51)</f>
        <v>0</v>
      </c>
      <c r="D52" s="88"/>
    </row>
    <row r="53" ht="12.997499999999997" customHeight="1">
      <c r="D53" s="88"/>
    </row>
  </sheetData>
  <sheetProtection sheet="1" objects="1" formatColumns="0" formatRows="0" password="CC3D"/>
  <mergeCells>
    <mergeCell ref="E13:F13"/>
    <mergeCell ref="D19:F19"/>
    <mergeCell ref="E42:F42"/>
    <mergeCell ref="J38:L41"/>
    <mergeCell ref="B2:D2"/>
    <mergeCell ref="D31:F31"/>
    <mergeCell ref="D22:F22"/>
    <mergeCell ref="D20:F20"/>
    <mergeCell ref="D21:F21"/>
    <mergeCell ref="D26:F26"/>
    <mergeCell ref="D25:F25"/>
    <mergeCell ref="D24:F24"/>
    <mergeCell ref="D23:F23"/>
    <mergeCell ref="D29:F29"/>
    <mergeCell ref="B46:C46"/>
    <mergeCell ref="D27:F27"/>
    <mergeCell ref="D28:F28"/>
    <mergeCell ref="E7:F7"/>
    <mergeCell ref="E8:F8"/>
    <mergeCell ref="E9:F9"/>
    <mergeCell ref="E10:F10"/>
    <mergeCell ref="D18:F18"/>
    <mergeCell ref="E15:F15"/>
    <mergeCell ref="E16:F16"/>
    <mergeCell ref="E43:G43"/>
    <mergeCell ref="E11:F11"/>
    <mergeCell ref="E12:F12"/>
    <mergeCell ref="B17:F17"/>
    <mergeCell ref="E14:F14"/>
    <mergeCell ref="D30:F30"/>
  </mergeCells>
  <conditionalFormatting sqref="C9:C15 C19:C29 D34:D35 D37:D41">
    <cfRule type="expression" dxfId="0" priority="25" stopIfTrue="1" text="null">
      <formula>LEN(TRIM(C9))=0</formula>
    </cfRule>
  </conditionalFormatting>
  <conditionalFormatting sqref="D10:D15">
    <cfRule type="cellIs" dxfId="1" priority="1" operator="lessThan" text="null">
      <formula>3</formula>
    </cfRule>
  </conditionalFormatting>
  <conditionalFormatting sqref="D43">
    <cfRule type="cellIs" dxfId="2" priority="5" operator="greaterThan" text="null">
      <formula>0</formula>
    </cfRule>
  </conditionalFormatting>
  <conditionalFormatting sqref="E43:G43">
    <cfRule type="containsText" dxfId="3" priority="3" operator="containsText" text="fully">
      <formula>NOT(ISERROR(SEARCH("fully",E43)))</formula>
    </cfRule>
  </conditionalFormatting>
  <conditionalFormatting sqref="E43:G43">
    <cfRule type="containsText" dxfId="2" priority="4" operator="containsText" text="require">
      <formula>NOT(ISERROR(SEARCH("require",E43)))</formula>
    </cfRule>
  </conditionalFormatting>
  <hyperlinks>
    <hyperlink ref="J38:L41" location="'Amortization&amp;Depreciation'!A1" display="See Loan Amortization &amp; Depreciation Schedule"/>
  </hyperlinks>
  <printOptions horizontalCentered="1" verticalCentered="1"/>
  <pageMargins left="0.7" right="0.7" top="0.75" bottom="0.75" header="0.3" footer="0.3"/>
  <pageSetup useFirstPageNumber="1" paperSize="1" scale="59" pageOrder="downThenOver" orientation="landscape"/>
  <headerFooter scaleWithDoc="0">
    <oddHeader>&amp;L&amp;C&amp;"Gill Sans MT,Regular"&amp;12Start-Up Expenses Year 1
(Starting Balance Sheet)&amp;R</oddHeader>
    <oddFooter>&amp;L&amp;"Gill Sans MT,Regular"&amp;12&amp;F&amp;C&amp;"Gill Sans MT,Regular"&amp;12&amp;A&amp;R&amp;"Gill Sans MT,Regular"&amp;12&amp;D &amp;T</oddFooter>
  </headerFooter>
  <drawing r:id="rId3"/>
  <legacyDrawing r:id="rId2"/>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05D59B5-81F8-3711-7A8A-D1D84E279FA8}" mc:Ignorable="x14ac xr xr2 xr3">
  <sheetPr>
    <tabColor rgb="FFFFC95B"/>
    <pageSetUpPr fitToPage="1"/>
  </sheetPr>
  <dimension ref="A1:GR50000"/>
  <sheetViews>
    <sheetView topLeftCell="A4" zoomScale="125" workbookViewId="0">
      <selection activeCell="E19" sqref="E19"/>
    </sheetView>
  </sheetViews>
  <sheetFormatPr defaultRowHeight="12" defaultColWidth="9.140625" customHeight="1"/>
  <cols>
    <col min="1" max="1" style="95" width="30.28125" customWidth="1"/>
    <col min="2" max="2" style="95" width="16.140625" customWidth="1"/>
    <col min="3" max="3" style="95" width="14.28125" customWidth="1"/>
    <col min="4" max="4" style="95" width="12.28125" customWidth="1"/>
    <col min="5" max="5" style="95" width="16.00390625" customWidth="1"/>
    <col min="6" max="6" style="95" width="9.7109375" customWidth="1"/>
    <col min="7" max="7" style="95" width="8.00390625" customWidth="1"/>
    <col min="8" max="14" style="95" width="9.7109375" customWidth="1"/>
    <col min="15" max="17" style="95" width="10.28125" customWidth="1"/>
    <col min="18" max="18" style="95" width="12.140625" customWidth="1"/>
    <col min="19" max="20" style="95" width="9.140625" customWidth="1"/>
  </cols>
  <sheetData>
    <row r="1" ht="12" customHeight="1">
      <c r="A1" s="89"/>
      <c r="B1" s="89"/>
      <c r="C1" s="89"/>
      <c r="D1" s="89"/>
      <c r="E1" s="89"/>
      <c r="F1" s="89"/>
    </row>
    <row r="2" ht="12" customHeight="1">
      <c r="B2" s="90" t="s">
        <v>77</v>
      </c>
      <c r="C2" s="91"/>
      <c r="D2" s="91"/>
      <c r="E2" s="91"/>
      <c r="F2" s="91"/>
    </row>
    <row r="3" ht="12" customHeight="1">
      <c r="B3" s="92"/>
      <c r="C3" s="91"/>
      <c r="D3" s="91"/>
      <c r="E3" s="91"/>
      <c r="F3" s="91"/>
    </row>
    <row r="4" ht="12" customHeight="1">
      <c r="B4" s="90" t="s">
        <v>19</v>
      </c>
      <c r="C4" s="93" t="s">
        <v>20</v>
      </c>
      <c r="D4" s="91"/>
      <c r="E4" s="91"/>
      <c r="F4" s="91"/>
    </row>
    <row r="5" ht="12" customHeight="1">
      <c r="B5" s="94" t="str">
        <f>IF(ISBLANK(Directions!C10),"Owner",Directions!C10)</f>
        <v>Owner</v>
      </c>
      <c r="C5" s="95" t="str">
        <f>IF(ISBLANK(Directions!D10),"Company 1",Directions!D10)</f>
        <v>Company 1</v>
      </c>
      <c r="D5" s="91"/>
      <c r="E5" s="91"/>
      <c r="F5" s="91"/>
    </row>
    <row r="6" ht="12" customHeight="1">
      <c r="B6" s="89"/>
      <c r="C6" s="89"/>
      <c r="D6" s="89"/>
      <c r="E6" s="89"/>
      <c r="F6" s="89"/>
      <c r="G6" s="94"/>
      <c r="H6" s="94"/>
      <c r="I6" s="94"/>
      <c r="J6" s="94"/>
      <c r="K6" s="94"/>
      <c r="L6" s="94"/>
      <c r="M6" s="94"/>
    </row>
    <row r="7" ht="39.75" customHeight="1">
      <c r="A7" s="96" t="s">
        <v>78</v>
      </c>
      <c r="B7" s="96" t="s">
        <v>79</v>
      </c>
      <c r="C7" s="96" t="s">
        <v>80</v>
      </c>
      <c r="D7" s="96" t="s">
        <v>81</v>
      </c>
      <c r="E7" s="96" t="s">
        <v>82</v>
      </c>
      <c r="F7" s="97" t="str">
        <f>Directions!B38</f>
        <v>Month 1</v>
      </c>
      <c r="G7" s="97" t="str">
        <f>Directions!C38</f>
        <v>Month 2</v>
      </c>
      <c r="H7" s="97" t="str">
        <f>Directions!D38</f>
        <v>Month 3</v>
      </c>
      <c r="I7" s="97" t="str">
        <f>Directions!E38</f>
        <v>Month 4</v>
      </c>
      <c r="J7" s="97" t="str">
        <f>Directions!F38</f>
        <v>Month 5</v>
      </c>
      <c r="K7" s="97" t="str">
        <f>Directions!G38</f>
        <v>Month 6</v>
      </c>
      <c r="L7" s="97" t="str">
        <f>Directions!H38</f>
        <v>Month 7</v>
      </c>
      <c r="M7" s="97" t="str">
        <f>Directions!I38</f>
        <v>Month 8</v>
      </c>
      <c r="N7" s="97" t="str">
        <f>Directions!J38</f>
        <v>Month 9</v>
      </c>
      <c r="O7" s="97" t="str">
        <f>Directions!K38</f>
        <v>Month 10</v>
      </c>
      <c r="P7" s="97" t="str">
        <f>Directions!L38</f>
        <v>Month 11</v>
      </c>
      <c r="Q7" s="97" t="str">
        <f>Directions!M38</f>
        <v>Month 12</v>
      </c>
      <c r="R7" s="96" t="s">
        <v>83</v>
      </c>
    </row>
    <row r="8" ht="13.5" customHeight="1">
      <c r="A8" s="98" t="s">
        <v>84</v>
      </c>
      <c r="B8" s="99">
        <v>1</v>
      </c>
      <c r="C8" s="100">
        <v>38.46</v>
      </c>
      <c r="D8" s="101">
        <v>40</v>
      </c>
      <c r="E8" s="102">
        <f t="shared" si="0" ref="E8:E11">(C8*D8*B8)*52/12</f>
        <v>6666.4</v>
      </c>
      <c r="F8" s="103">
        <v>0</v>
      </c>
      <c r="G8" s="103">
        <v>0</v>
      </c>
      <c r="H8" s="103">
        <v>0</v>
      </c>
      <c r="I8" s="103">
        <v>3000</v>
      </c>
      <c r="J8" s="103">
        <v>4000</v>
      </c>
      <c r="K8" s="103">
        <v>5000</v>
      </c>
      <c r="L8" s="103">
        <v>6000</v>
      </c>
      <c r="M8" s="103">
        <v>6000</v>
      </c>
      <c r="N8" s="103">
        <v>6667</v>
      </c>
      <c r="O8" s="103">
        <v>6667</v>
      </c>
      <c r="P8" s="103">
        <v>6667</v>
      </c>
      <c r="Q8" s="103">
        <v>6667</v>
      </c>
      <c r="R8" s="104">
        <f t="shared" si="2" ref="R8:R22">SUM(F8:Q8)</f>
        <v>50668</v>
      </c>
    </row>
    <row r="9" ht="13.5" customHeight="1">
      <c r="A9" s="105" t="s">
        <v>85</v>
      </c>
      <c r="B9" s="106">
        <v>0</v>
      </c>
      <c r="C9" s="107">
        <v>25</v>
      </c>
      <c r="D9" s="108">
        <v>40</v>
      </c>
      <c r="E9" s="109">
        <f t="shared" si="0"/>
        <v>0</v>
      </c>
      <c r="F9" s="110">
        <f t="shared" si="1" ref="F9:Q22">E9</f>
        <v>0</v>
      </c>
      <c r="G9" s="110">
        <f t="shared" si="1"/>
        <v>0</v>
      </c>
      <c r="H9" s="110">
        <f t="shared" si="1"/>
        <v>0</v>
      </c>
      <c r="I9" s="110">
        <f t="shared" si="1"/>
        <v>0</v>
      </c>
      <c r="J9" s="110">
        <f t="shared" si="1"/>
        <v>0</v>
      </c>
      <c r="K9" s="110">
        <f t="shared" si="1"/>
        <v>0</v>
      </c>
      <c r="L9" s="110">
        <f t="shared" si="1"/>
        <v>0</v>
      </c>
      <c r="M9" s="110">
        <f t="shared" si="1"/>
        <v>0</v>
      </c>
      <c r="N9" s="110">
        <f t="shared" si="1"/>
        <v>0</v>
      </c>
      <c r="O9" s="110">
        <f t="shared" si="1"/>
        <v>0</v>
      </c>
      <c r="P9" s="110">
        <f t="shared" si="1"/>
        <v>0</v>
      </c>
      <c r="Q9" s="110">
        <f t="shared" si="1"/>
        <v>0</v>
      </c>
      <c r="R9" s="111">
        <f t="shared" si="2"/>
        <v>0</v>
      </c>
    </row>
    <row r="10" ht="13.5" customHeight="1">
      <c r="A10" s="105" t="s">
        <v>86</v>
      </c>
      <c r="B10" s="106">
        <v>0</v>
      </c>
      <c r="C10" s="107">
        <v>28.85</v>
      </c>
      <c r="D10" s="108">
        <v>40</v>
      </c>
      <c r="E10" s="109">
        <f t="shared" si="0"/>
        <v>0</v>
      </c>
      <c r="F10" s="110">
        <f t="shared" si="1"/>
        <v>0</v>
      </c>
      <c r="G10" s="110">
        <f t="shared" si="1"/>
        <v>0</v>
      </c>
      <c r="H10" s="110">
        <f t="shared" si="1"/>
        <v>0</v>
      </c>
      <c r="I10" s="110">
        <f t="shared" si="1"/>
        <v>0</v>
      </c>
      <c r="J10" s="110">
        <f t="shared" si="1"/>
        <v>0</v>
      </c>
      <c r="K10" s="110">
        <f t="shared" si="1"/>
        <v>0</v>
      </c>
      <c r="L10" s="110">
        <f t="shared" si="1"/>
        <v>0</v>
      </c>
      <c r="M10" s="110">
        <f t="shared" si="1"/>
        <v>0</v>
      </c>
      <c r="N10" s="110">
        <f t="shared" si="1"/>
        <v>0</v>
      </c>
      <c r="O10" s="110">
        <f t="shared" si="1"/>
        <v>0</v>
      </c>
      <c r="P10" s="110">
        <f t="shared" si="1"/>
        <v>0</v>
      </c>
      <c r="Q10" s="110">
        <f t="shared" si="1"/>
        <v>0</v>
      </c>
      <c r="R10" s="111">
        <f t="shared" si="2"/>
        <v>0</v>
      </c>
    </row>
    <row r="11" ht="13.5" customHeight="1">
      <c r="A11" s="105" t="s">
        <v>87</v>
      </c>
      <c r="B11" s="106">
        <v>0</v>
      </c>
      <c r="C11" s="112"/>
      <c r="D11" s="113"/>
      <c r="E11" s="109">
        <f t="shared" si="0"/>
        <v>0</v>
      </c>
      <c r="F11" s="110">
        <f t="shared" si="1"/>
        <v>0</v>
      </c>
      <c r="G11" s="110">
        <f t="shared" si="1"/>
        <v>0</v>
      </c>
      <c r="H11" s="110">
        <f t="shared" si="1"/>
        <v>0</v>
      </c>
      <c r="I11" s="110">
        <f t="shared" si="1"/>
        <v>0</v>
      </c>
      <c r="J11" s="110">
        <f t="shared" si="1"/>
        <v>0</v>
      </c>
      <c r="K11" s="110">
        <f t="shared" si="1"/>
        <v>0</v>
      </c>
      <c r="L11" s="110">
        <f t="shared" si="1"/>
        <v>0</v>
      </c>
      <c r="M11" s="110">
        <f t="shared" si="1"/>
        <v>0</v>
      </c>
      <c r="N11" s="110">
        <f t="shared" si="1"/>
        <v>0</v>
      </c>
      <c r="O11" s="110">
        <f t="shared" si="1"/>
        <v>0</v>
      </c>
      <c r="P11" s="110">
        <f t="shared" si="1"/>
        <v>0</v>
      </c>
      <c r="Q11" s="110">
        <f t="shared" si="1"/>
        <v>0</v>
      </c>
      <c r="R11" s="111">
        <f t="shared" si="2"/>
        <v>0</v>
      </c>
    </row>
    <row r="12" ht="14.25" customHeight="1">
      <c r="A12" s="114" t="s">
        <v>88</v>
      </c>
      <c r="B12" s="115">
        <f t="shared" si="3" ref="B12:R12">SUM(B8:B11)</f>
        <v>1</v>
      </c>
      <c r="C12" s="116">
        <f t="shared" si="3"/>
        <v>92.31</v>
      </c>
      <c r="D12" s="117">
        <f t="shared" si="3"/>
        <v>120</v>
      </c>
      <c r="E12" s="109">
        <f t="shared" si="3"/>
        <v>6666.4</v>
      </c>
      <c r="F12" s="111">
        <f t="shared" si="3"/>
        <v>0</v>
      </c>
      <c r="G12" s="111">
        <f t="shared" si="3"/>
        <v>0</v>
      </c>
      <c r="H12" s="111">
        <f t="shared" si="3"/>
        <v>0</v>
      </c>
      <c r="I12" s="111">
        <f t="shared" si="3"/>
        <v>3000</v>
      </c>
      <c r="J12" s="111">
        <f t="shared" si="3"/>
        <v>4000</v>
      </c>
      <c r="K12" s="111">
        <f t="shared" si="3"/>
        <v>5000</v>
      </c>
      <c r="L12" s="111">
        <f t="shared" si="3"/>
        <v>6000</v>
      </c>
      <c r="M12" s="111">
        <f t="shared" si="3"/>
        <v>6000</v>
      </c>
      <c r="N12" s="111">
        <f t="shared" si="3"/>
        <v>6667</v>
      </c>
      <c r="O12" s="111">
        <f t="shared" si="3"/>
        <v>6667</v>
      </c>
      <c r="P12" s="111">
        <f t="shared" si="3"/>
        <v>6667</v>
      </c>
      <c r="Q12" s="111">
        <f t="shared" si="3"/>
        <v>6667</v>
      </c>
      <c r="R12" s="111">
        <f t="shared" si="3"/>
        <v>50668</v>
      </c>
    </row>
    <row r="13" ht="12" customHeight="1">
      <c r="A13" s="118"/>
      <c r="B13" s="118"/>
      <c r="C13" s="119"/>
      <c r="D13" s="120"/>
      <c r="E13" s="120"/>
      <c r="F13" s="120"/>
      <c r="G13" s="120"/>
      <c r="H13" s="120"/>
      <c r="I13" s="121"/>
      <c r="J13" s="121"/>
      <c r="K13" s="121"/>
      <c r="L13" s="121"/>
      <c r="M13" s="121"/>
      <c r="N13" s="121"/>
      <c r="O13" s="121"/>
      <c r="P13" s="121"/>
      <c r="Q13" s="121"/>
      <c r="R13" s="122"/>
    </row>
    <row r="14" ht="39.75" customHeight="1">
      <c r="A14" s="96" t="s">
        <v>89</v>
      </c>
      <c r="B14" s="96" t="s">
        <v>90</v>
      </c>
      <c r="C14" s="96" t="s">
        <v>91</v>
      </c>
      <c r="D14" s="96"/>
      <c r="E14" s="96" t="s">
        <v>92</v>
      </c>
      <c r="F14" s="96" t="str">
        <f>'3a-SalesForecastYear1'!C16</f>
        <v>Month 1</v>
      </c>
      <c r="G14" s="96" t="str">
        <f>'3a-SalesForecastYear1'!D16</f>
        <v>Month 2</v>
      </c>
      <c r="H14" s="96" t="str">
        <f>'3a-SalesForecastYear1'!E16</f>
        <v>Month 3</v>
      </c>
      <c r="I14" s="96" t="str">
        <f>'3a-SalesForecastYear1'!F16</f>
        <v>Month 4</v>
      </c>
      <c r="J14" s="96" t="str">
        <f>'3a-SalesForecastYear1'!G16</f>
        <v>Month 5</v>
      </c>
      <c r="K14" s="96" t="str">
        <f>'3a-SalesForecastYear1'!H16</f>
        <v>Month 6</v>
      </c>
      <c r="L14" s="96" t="str">
        <f>'3a-SalesForecastYear1'!I16</f>
        <v>Month 7</v>
      </c>
      <c r="M14" s="96" t="str">
        <f>'3a-SalesForecastYear1'!J16</f>
        <v>Month 8</v>
      </c>
      <c r="N14" s="96" t="str">
        <f>'3a-SalesForecastYear1'!K16</f>
        <v>Month 9</v>
      </c>
      <c r="O14" s="96" t="str">
        <f>'3a-SalesForecastYear1'!L16</f>
        <v>Month 10</v>
      </c>
      <c r="P14" s="96" t="str">
        <f>'3a-SalesForecastYear1'!M16</f>
        <v>Month 11</v>
      </c>
      <c r="Q14" s="96" t="str">
        <f>'3a-SalesForecastYear1'!N16</f>
        <v>Month 12</v>
      </c>
      <c r="R14" s="96" t="str">
        <f>'3a-SalesForecastYear1'!O16</f>
        <v>Annual Totals</v>
      </c>
    </row>
    <row r="15" ht="13.5" customHeight="1">
      <c r="A15" s="98" t="s">
        <v>93</v>
      </c>
      <c r="B15" s="102">
        <v>137700</v>
      </c>
      <c r="C15" s="123">
        <v>0.062</v>
      </c>
      <c r="D15" s="124"/>
      <c r="E15" s="125">
        <f t="shared" si="4" ref="E15:Q15">(E$8+E$9+E$10)*$C$15</f>
        <v>413.3168</v>
      </c>
      <c r="F15" s="126">
        <f t="shared" si="4"/>
        <v>0</v>
      </c>
      <c r="G15" s="126">
        <f t="shared" si="4"/>
        <v>0</v>
      </c>
      <c r="H15" s="126">
        <f t="shared" si="4"/>
        <v>0</v>
      </c>
      <c r="I15" s="126">
        <f t="shared" si="4"/>
        <v>186</v>
      </c>
      <c r="J15" s="126">
        <f t="shared" si="4"/>
        <v>248</v>
      </c>
      <c r="K15" s="126">
        <f t="shared" si="4"/>
        <v>310</v>
      </c>
      <c r="L15" s="126">
        <f t="shared" si="4"/>
        <v>372</v>
      </c>
      <c r="M15" s="126">
        <f t="shared" si="4"/>
        <v>372</v>
      </c>
      <c r="N15" s="126">
        <f t="shared" si="4"/>
        <v>413.354</v>
      </c>
      <c r="O15" s="126">
        <f t="shared" si="4"/>
        <v>413.354</v>
      </c>
      <c r="P15" s="126">
        <f t="shared" si="4"/>
        <v>413.354</v>
      </c>
      <c r="Q15" s="126">
        <f t="shared" si="4"/>
        <v>413.354</v>
      </c>
      <c r="R15" s="104">
        <f t="shared" si="2"/>
        <v>3141.416</v>
      </c>
    </row>
    <row r="16" ht="13.5" customHeight="1">
      <c r="A16" s="105" t="s">
        <v>94</v>
      </c>
      <c r="B16" s="127" t="s">
        <v>95</v>
      </c>
      <c r="C16" s="128">
        <v>0.0145</v>
      </c>
      <c r="D16" s="129"/>
      <c r="E16" s="130">
        <f t="shared" si="5" ref="E16:Q16">(E$8+E$9+E$10)*$C$16</f>
        <v>96.6628</v>
      </c>
      <c r="F16" s="110">
        <f t="shared" si="5"/>
        <v>0</v>
      </c>
      <c r="G16" s="110">
        <f t="shared" si="5"/>
        <v>0</v>
      </c>
      <c r="H16" s="110">
        <f t="shared" si="5"/>
        <v>0</v>
      </c>
      <c r="I16" s="110">
        <f t="shared" si="5"/>
        <v>43.5</v>
      </c>
      <c r="J16" s="110">
        <f t="shared" si="5"/>
        <v>58</v>
      </c>
      <c r="K16" s="110">
        <f t="shared" si="5"/>
        <v>72.5</v>
      </c>
      <c r="L16" s="110">
        <f t="shared" si="5"/>
        <v>87</v>
      </c>
      <c r="M16" s="110">
        <f t="shared" si="5"/>
        <v>87</v>
      </c>
      <c r="N16" s="110">
        <f t="shared" si="5"/>
        <v>96.6715</v>
      </c>
      <c r="O16" s="110">
        <f t="shared" si="5"/>
        <v>96.6715</v>
      </c>
      <c r="P16" s="110">
        <f t="shared" si="5"/>
        <v>96.6715</v>
      </c>
      <c r="Q16" s="110">
        <f t="shared" si="5"/>
        <v>96.6715</v>
      </c>
      <c r="R16" s="111">
        <f t="shared" si="2"/>
        <v>734.686</v>
      </c>
    </row>
    <row r="17" ht="13.5" customHeight="1">
      <c r="A17" s="105" t="s">
        <v>96</v>
      </c>
      <c r="B17" s="131">
        <v>7000</v>
      </c>
      <c r="C17" s="128">
        <v>0.006</v>
      </c>
      <c r="D17" s="129"/>
      <c r="E17" s="130">
        <f t="shared" si="6" ref="E17:E18">+$B$12*B17*C17/12</f>
        <v>3.5</v>
      </c>
      <c r="F17" s="110">
        <f t="shared" si="1"/>
        <v>3.5</v>
      </c>
      <c r="G17" s="110">
        <f t="shared" si="1"/>
        <v>3.5</v>
      </c>
      <c r="H17" s="110">
        <f t="shared" si="1"/>
        <v>3.5</v>
      </c>
      <c r="I17" s="110">
        <f t="shared" si="1"/>
        <v>3.5</v>
      </c>
      <c r="J17" s="110">
        <f t="shared" si="1"/>
        <v>3.5</v>
      </c>
      <c r="K17" s="110">
        <f t="shared" si="1"/>
        <v>3.5</v>
      </c>
      <c r="L17" s="110">
        <f t="shared" si="1"/>
        <v>3.5</v>
      </c>
      <c r="M17" s="110">
        <f t="shared" si="1"/>
        <v>3.5</v>
      </c>
      <c r="N17" s="110">
        <f t="shared" si="1"/>
        <v>3.5</v>
      </c>
      <c r="O17" s="110">
        <f t="shared" si="1"/>
        <v>3.5</v>
      </c>
      <c r="P17" s="110">
        <f t="shared" si="1"/>
        <v>3.5</v>
      </c>
      <c r="Q17" s="110">
        <f t="shared" si="1"/>
        <v>3.5</v>
      </c>
      <c r="R17" s="111">
        <f t="shared" si="2"/>
        <v>42</v>
      </c>
    </row>
    <row r="18" ht="13.5" customHeight="1">
      <c r="A18" s="105" t="s">
        <v>97</v>
      </c>
      <c r="B18" s="131">
        <v>7000</v>
      </c>
      <c r="C18" s="128">
        <v>0.0345</v>
      </c>
      <c r="D18" s="129"/>
      <c r="E18" s="130">
        <f t="shared" si="6"/>
        <v>20.125</v>
      </c>
      <c r="F18" s="110">
        <f t="shared" si="1"/>
        <v>20.125</v>
      </c>
      <c r="G18" s="110">
        <f t="shared" si="1"/>
        <v>20.125</v>
      </c>
      <c r="H18" s="110">
        <f t="shared" si="1"/>
        <v>20.125</v>
      </c>
      <c r="I18" s="110">
        <f t="shared" si="1"/>
        <v>20.125</v>
      </c>
      <c r="J18" s="110">
        <f t="shared" si="1"/>
        <v>20.125</v>
      </c>
      <c r="K18" s="110">
        <f t="shared" si="1"/>
        <v>20.125</v>
      </c>
      <c r="L18" s="110">
        <f t="shared" si="1"/>
        <v>20.125</v>
      </c>
      <c r="M18" s="110">
        <f t="shared" si="1"/>
        <v>20.125</v>
      </c>
      <c r="N18" s="110">
        <f t="shared" si="1"/>
        <v>20.125</v>
      </c>
      <c r="O18" s="110">
        <f t="shared" si="1"/>
        <v>20.125</v>
      </c>
      <c r="P18" s="110">
        <f t="shared" si="1"/>
        <v>20.125</v>
      </c>
      <c r="Q18" s="110">
        <f t="shared" si="1"/>
        <v>20.125</v>
      </c>
      <c r="R18" s="111">
        <f t="shared" si="2"/>
        <v>241.5</v>
      </c>
    </row>
    <row r="19" ht="12" customHeight="1">
      <c r="A19" s="105" t="s">
        <v>98</v>
      </c>
      <c r="B19" s="127" t="s">
        <v>95</v>
      </c>
      <c r="C19" s="128">
        <v>0</v>
      </c>
      <c r="D19" s="129" t="s">
        <v>99</v>
      </c>
      <c r="E19" s="130">
        <f t="shared" si="7" ref="E19:E22">($E$8+$E$9+$E$10)*C19</f>
        <v>0</v>
      </c>
      <c r="F19" s="110">
        <f t="shared" si="1"/>
        <v>0</v>
      </c>
      <c r="G19" s="110">
        <f t="shared" si="1"/>
        <v>0</v>
      </c>
      <c r="H19" s="110">
        <f t="shared" si="1"/>
        <v>0</v>
      </c>
      <c r="I19" s="110">
        <f t="shared" si="1"/>
        <v>0</v>
      </c>
      <c r="J19" s="110">
        <f t="shared" si="1"/>
        <v>0</v>
      </c>
      <c r="K19" s="110">
        <f t="shared" si="1"/>
        <v>0</v>
      </c>
      <c r="L19" s="110">
        <f t="shared" si="1"/>
        <v>0</v>
      </c>
      <c r="M19" s="110">
        <f t="shared" si="1"/>
        <v>0</v>
      </c>
      <c r="N19" s="110">
        <f t="shared" si="1"/>
        <v>0</v>
      </c>
      <c r="O19" s="110">
        <f t="shared" si="1"/>
        <v>0</v>
      </c>
      <c r="P19" s="110">
        <f t="shared" si="1"/>
        <v>0</v>
      </c>
      <c r="Q19" s="110">
        <f t="shared" si="1"/>
        <v>0</v>
      </c>
      <c r="R19" s="111">
        <f t="shared" si="2"/>
        <v>0</v>
      </c>
    </row>
    <row r="20" ht="12" customHeight="1">
      <c r="A20" s="105" t="s">
        <v>100</v>
      </c>
      <c r="B20" s="127" t="s">
        <v>95</v>
      </c>
      <c r="C20" s="128">
        <v>0</v>
      </c>
      <c r="D20" s="132"/>
      <c r="E20" s="130">
        <f t="shared" si="7"/>
        <v>0</v>
      </c>
      <c r="F20" s="110">
        <f t="shared" si="1"/>
        <v>0</v>
      </c>
      <c r="G20" s="110">
        <f t="shared" si="1"/>
        <v>0</v>
      </c>
      <c r="H20" s="110">
        <f t="shared" si="1"/>
        <v>0</v>
      </c>
      <c r="I20" s="110">
        <f t="shared" si="1"/>
        <v>0</v>
      </c>
      <c r="J20" s="110">
        <f t="shared" si="1"/>
        <v>0</v>
      </c>
      <c r="K20" s="110">
        <f t="shared" si="1"/>
        <v>0</v>
      </c>
      <c r="L20" s="110">
        <f t="shared" si="1"/>
        <v>0</v>
      </c>
      <c r="M20" s="110">
        <f t="shared" si="1"/>
        <v>0</v>
      </c>
      <c r="N20" s="110">
        <f t="shared" si="1"/>
        <v>0</v>
      </c>
      <c r="O20" s="110">
        <f t="shared" si="1"/>
        <v>0</v>
      </c>
      <c r="P20" s="110">
        <f t="shared" si="1"/>
        <v>0</v>
      </c>
      <c r="Q20" s="110">
        <f t="shared" si="1"/>
        <v>0</v>
      </c>
      <c r="R20" s="111">
        <f t="shared" si="2"/>
        <v>0</v>
      </c>
    </row>
    <row r="21" ht="12" customHeight="1">
      <c r="A21" s="105" t="s">
        <v>101</v>
      </c>
      <c r="B21" s="127" t="s">
        <v>95</v>
      </c>
      <c r="C21" s="128">
        <v>0</v>
      </c>
      <c r="D21" s="132"/>
      <c r="E21" s="130">
        <f t="shared" si="7"/>
        <v>0</v>
      </c>
      <c r="F21" s="110">
        <f t="shared" si="1"/>
        <v>0</v>
      </c>
      <c r="G21" s="110">
        <f t="shared" si="1"/>
        <v>0</v>
      </c>
      <c r="H21" s="110">
        <f t="shared" si="1"/>
        <v>0</v>
      </c>
      <c r="I21" s="110">
        <f t="shared" si="1"/>
        <v>0</v>
      </c>
      <c r="J21" s="110">
        <f t="shared" si="1"/>
        <v>0</v>
      </c>
      <c r="K21" s="110">
        <f t="shared" si="1"/>
        <v>0</v>
      </c>
      <c r="L21" s="110">
        <f t="shared" si="1"/>
        <v>0</v>
      </c>
      <c r="M21" s="110">
        <f t="shared" si="1"/>
        <v>0</v>
      </c>
      <c r="N21" s="110">
        <f t="shared" si="1"/>
        <v>0</v>
      </c>
      <c r="O21" s="110">
        <f t="shared" si="1"/>
        <v>0</v>
      </c>
      <c r="P21" s="110">
        <f t="shared" si="1"/>
        <v>0</v>
      </c>
      <c r="Q21" s="110">
        <f t="shared" si="1"/>
        <v>0</v>
      </c>
      <c r="R21" s="111">
        <f t="shared" si="2"/>
        <v>0</v>
      </c>
    </row>
    <row r="22" ht="12" customHeight="1">
      <c r="A22" s="105" t="s">
        <v>102</v>
      </c>
      <c r="B22" s="127" t="s">
        <v>95</v>
      </c>
      <c r="C22" s="128">
        <v>0</v>
      </c>
      <c r="D22" s="132"/>
      <c r="E22" s="130">
        <f t="shared" si="7"/>
        <v>0</v>
      </c>
      <c r="F22" s="110">
        <f t="shared" si="1"/>
        <v>0</v>
      </c>
      <c r="G22" s="110">
        <f t="shared" si="1"/>
        <v>0</v>
      </c>
      <c r="H22" s="110">
        <f t="shared" si="1"/>
        <v>0</v>
      </c>
      <c r="I22" s="110">
        <f t="shared" si="1"/>
        <v>0</v>
      </c>
      <c r="J22" s="110">
        <f t="shared" si="1"/>
        <v>0</v>
      </c>
      <c r="K22" s="110">
        <f t="shared" si="1"/>
        <v>0</v>
      </c>
      <c r="L22" s="110">
        <f t="shared" si="1"/>
        <v>0</v>
      </c>
      <c r="M22" s="110">
        <f t="shared" si="1"/>
        <v>0</v>
      </c>
      <c r="N22" s="110">
        <f t="shared" si="1"/>
        <v>0</v>
      </c>
      <c r="O22" s="110">
        <f t="shared" si="1"/>
        <v>0</v>
      </c>
      <c r="P22" s="110">
        <f t="shared" si="1"/>
        <v>0</v>
      </c>
      <c r="Q22" s="110">
        <f t="shared" si="1"/>
        <v>0</v>
      </c>
      <c r="R22" s="111">
        <f t="shared" si="2"/>
        <v>0</v>
      </c>
    </row>
    <row r="23" ht="14.25" customHeight="1">
      <c r="A23" s="114" t="s">
        <v>103</v>
      </c>
      <c r="B23" s="114"/>
      <c r="C23" s="133">
        <f t="shared" si="8" ref="C23:R23">SUM(C15:C22)</f>
        <v>0.117</v>
      </c>
      <c r="D23" s="105"/>
      <c r="E23" s="109">
        <f t="shared" si="8"/>
        <v>533.6046</v>
      </c>
      <c r="F23" s="109">
        <f t="shared" si="8"/>
        <v>23.625</v>
      </c>
      <c r="G23" s="109">
        <f t="shared" si="8"/>
        <v>23.625</v>
      </c>
      <c r="H23" s="109">
        <f t="shared" si="8"/>
        <v>23.625</v>
      </c>
      <c r="I23" s="109">
        <f t="shared" si="8"/>
        <v>253.125</v>
      </c>
      <c r="J23" s="109">
        <f t="shared" si="8"/>
        <v>329.625</v>
      </c>
      <c r="K23" s="109">
        <f t="shared" si="8"/>
        <v>406.125</v>
      </c>
      <c r="L23" s="109">
        <f t="shared" si="8"/>
        <v>482.625</v>
      </c>
      <c r="M23" s="109">
        <f t="shared" si="8"/>
        <v>482.625</v>
      </c>
      <c r="N23" s="109">
        <f t="shared" si="8"/>
        <v>533.6505</v>
      </c>
      <c r="O23" s="109">
        <f t="shared" si="8"/>
        <v>533.6505</v>
      </c>
      <c r="P23" s="109">
        <f t="shared" si="8"/>
        <v>533.6505</v>
      </c>
      <c r="Q23" s="109">
        <f t="shared" si="8"/>
        <v>533.6505</v>
      </c>
      <c r="R23" s="109">
        <f t="shared" si="8"/>
        <v>4159.602</v>
      </c>
    </row>
    <row r="24" ht="12" customHeight="1">
      <c r="A24" s="114"/>
      <c r="B24" s="114"/>
      <c r="C24" s="134"/>
      <c r="D24" s="105"/>
      <c r="E24" s="105"/>
      <c r="F24" s="105"/>
      <c r="G24" s="105"/>
      <c r="H24" s="105"/>
      <c r="I24" s="105"/>
      <c r="J24" s="105"/>
      <c r="K24" s="105"/>
      <c r="L24" s="105"/>
      <c r="M24" s="105"/>
      <c r="N24" s="105"/>
      <c r="O24" s="105"/>
      <c r="P24" s="105"/>
      <c r="Q24" s="105"/>
      <c r="R24" s="105"/>
    </row>
    <row r="25" ht="14.25" customHeight="1">
      <c r="A25" s="114" t="s">
        <v>104</v>
      </c>
      <c r="B25" s="114"/>
      <c r="C25" s="134"/>
      <c r="D25" s="105"/>
      <c r="E25" s="109">
        <f t="shared" si="9" ref="E25:R25">E12+E23</f>
        <v>7200.0046</v>
      </c>
      <c r="F25" s="109">
        <f t="shared" si="9"/>
        <v>23.625</v>
      </c>
      <c r="G25" s="109">
        <f t="shared" si="9"/>
        <v>23.625</v>
      </c>
      <c r="H25" s="109">
        <f t="shared" si="9"/>
        <v>23.625</v>
      </c>
      <c r="I25" s="109">
        <f t="shared" si="9"/>
        <v>3253.125</v>
      </c>
      <c r="J25" s="109">
        <f t="shared" si="9"/>
        <v>4329.625</v>
      </c>
      <c r="K25" s="109">
        <f t="shared" si="9"/>
        <v>5406.125</v>
      </c>
      <c r="L25" s="109">
        <f t="shared" si="9"/>
        <v>6482.625</v>
      </c>
      <c r="M25" s="109">
        <f t="shared" si="9"/>
        <v>6482.625</v>
      </c>
      <c r="N25" s="109">
        <f t="shared" si="9"/>
        <v>7200.6505</v>
      </c>
      <c r="O25" s="109">
        <f t="shared" si="9"/>
        <v>7200.6505</v>
      </c>
      <c r="P25" s="109">
        <f t="shared" si="9"/>
        <v>7200.6505</v>
      </c>
      <c r="Q25" s="109">
        <f t="shared" si="9"/>
        <v>7200.6505</v>
      </c>
      <c r="R25" s="135">
        <f t="shared" si="9"/>
        <v>54827.602</v>
      </c>
    </row>
    <row r="29" ht="12" customHeight="1">
      <c r="A29" s="136"/>
      <c r="B29" s="136"/>
      <c r="C29" s="136"/>
    </row>
    <row r="30" ht="12" customHeight="1">
      <c r="A30" s="137"/>
      <c r="B30" s="138"/>
      <c r="C30" s="138"/>
    </row>
    <row r="31" ht="12" customHeight="1">
      <c r="A31" s="137"/>
      <c r="B31" s="139"/>
      <c r="C31" s="139"/>
    </row>
  </sheetData>
  <sheetProtection formatColumns="0" formatRows="0"/>
  <conditionalFormatting sqref="B8:D11">
    <cfRule type="expression" dxfId="0" priority="15" stopIfTrue="1" text="null">
      <formula>LEN(TRIM(B8))=0</formula>
    </cfRule>
  </conditionalFormatting>
  <conditionalFormatting sqref="F8:Q11">
    <cfRule type="expression" dxfId="4" priority="12" stopIfTrue="1" text="null">
      <formula>LEN(TRIM(F8))=0</formula>
    </cfRule>
  </conditionalFormatting>
  <conditionalFormatting sqref="F15:Q22">
    <cfRule type="expression" dxfId="4" priority="1" text="null">
      <formula>LEN(TRIM(F15))=0</formula>
    </cfRule>
  </conditionalFormatting>
  <printOptions horizontalCentered="1"/>
  <pageMargins left="0.25" right="0.25" top="0.75" bottom="0.75" header="0.3" footer="0.3"/>
  <pageSetup useFirstPageNumber="1" paperSize="1" scale="61" pageOrder="downThenOver" orientation="landscape"/>
  <headerFooter scaleWithDoc="0">
    <oddHeader>&amp;L&amp;C&amp;"Gill Sans MT,Regular"&amp;12Payroll Year 1&amp;R</oddHeader>
    <oddFooter>&amp;L&amp;"Gill Sans MT,Regular"&amp;12&amp;F&amp;C&amp;"Gill Sans MT,Regular"&amp;12&amp;A&amp;R&amp;"Gill Sans MT,Regular"&amp;12&amp;D &amp;T</oddFooter>
  </headerFooter>
  <legacyDrawing r:id="rId2"/>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1E6833F-2818-D8E5-B528-DA84DDE175A8}" mc:Ignorable="x14ac xr xr2 xr3">
  <sheetPr>
    <tabColor rgb="FFFFC95B"/>
    <pageSetUpPr fitToPage="1"/>
  </sheetPr>
  <dimension ref="A1:GR50000"/>
  <sheetViews>
    <sheetView topLeftCell="A1" workbookViewId="0">
      <selection activeCell="D9" sqref="D9"/>
    </sheetView>
  </sheetViews>
  <sheetFormatPr defaultRowHeight="12" defaultColWidth="9.140625" customHeight="1"/>
  <cols>
    <col min="1" max="1" style="172" width="7.00390625" customWidth="1"/>
    <col min="2" max="2" style="172" width="38.00390625" customWidth="1"/>
    <col min="3" max="3" style="172" width="11.28125" customWidth="1"/>
    <col min="4" max="4" style="172" width="15.7109375" customWidth="1"/>
    <col min="5" max="5" style="172" width="10.7109375" customWidth="1"/>
    <col min="6" max="6" style="172" width="15.7109375" customWidth="1"/>
    <col min="7" max="7" style="172" width="9.57421875" customWidth="1"/>
    <col min="8" max="8" style="172" width="5.140625" customWidth="1"/>
    <col min="9" max="9" style="172" width="5.57421875" customWidth="1"/>
    <col min="10" max="10" style="172" width="4.7109375" customWidth="1"/>
    <col min="11" max="11" style="172" width="8.140625" customWidth="1"/>
    <col min="12" max="12" style="172" width="12.140625" customWidth="1"/>
    <col min="13" max="13" style="172" width="9.57421875" customWidth="1"/>
    <col min="14" max="14" style="172" width="11.8515625" customWidth="1"/>
    <col min="15" max="15" style="172" width="11.57421875" customWidth="1"/>
    <col min="16" max="16" style="172" width="14.57421875" customWidth="1"/>
    <col min="17" max="17" style="172" width="8.7109375" customWidth="1"/>
    <col min="18" max="18" style="172" width="10.28125" customWidth="1"/>
    <col min="19" max="19" style="172" width="7.57421875" customWidth="1"/>
    <col min="20" max="20" style="172" width="6.140625" customWidth="1"/>
    <col min="21" max="21" style="172" width="5.140625" customWidth="1"/>
    <col min="22" max="22" style="172" width="5.57421875" customWidth="1"/>
    <col min="23" max="23" style="172" width="4.7109375" customWidth="1"/>
    <col min="24" max="24" style="172" width="8.140625" customWidth="1"/>
    <col min="25" max="25" style="172" width="12.140625" customWidth="1"/>
    <col min="26" max="26" style="172" width="9.57421875" customWidth="1"/>
    <col min="27" max="27" style="172" width="11.8515625" customWidth="1"/>
    <col min="28" max="28" style="172" width="11.57421875" customWidth="1"/>
    <col min="29" max="29" style="172" width="14.57421875" customWidth="1"/>
  </cols>
  <sheetData>
    <row r="2" ht="12" customHeight="1">
      <c r="B2" s="90" t="s">
        <v>105</v>
      </c>
      <c r="C2" s="91"/>
      <c r="D2" s="92"/>
      <c r="E2" s="91"/>
      <c r="F2" s="92"/>
      <c r="G2" s="91"/>
    </row>
    <row r="3" ht="12" customHeight="1">
      <c r="B3" s="92"/>
      <c r="C3" s="91"/>
      <c r="D3" s="92"/>
    </row>
    <row r="4" ht="12" customHeight="1">
      <c r="A4" s="140"/>
      <c r="B4" s="93" t="s">
        <v>19</v>
      </c>
      <c r="C4" s="93" t="s">
        <v>20</v>
      </c>
      <c r="D4" s="93"/>
      <c r="E4" s="140"/>
      <c r="F4" s="140"/>
      <c r="G4" s="140"/>
      <c r="H4" s="140"/>
      <c r="I4" s="140"/>
      <c r="J4" s="140"/>
      <c r="K4" s="140"/>
      <c r="L4" s="140"/>
      <c r="M4" s="140"/>
      <c r="N4" s="140"/>
      <c r="O4" s="140"/>
      <c r="P4" s="140"/>
      <c r="Q4" s="140"/>
      <c r="R4" s="140"/>
      <c r="S4" s="140"/>
      <c r="T4" s="140"/>
      <c r="U4" s="140"/>
      <c r="V4" s="140"/>
      <c r="W4" s="140"/>
      <c r="X4" s="140"/>
      <c r="Y4" s="140"/>
    </row>
    <row r="5" ht="12" customHeight="1">
      <c r="A5" s="94"/>
      <c r="B5" s="94" t="str">
        <f>IF(ISBLANK(Directions!C10),"Owner",Directions!C10)</f>
        <v>Owner</v>
      </c>
      <c r="C5" s="141" t="str">
        <f>IF(ISBLANK(Directions!D10),"Company 1",Directions!D10)</f>
        <v>Company 1</v>
      </c>
      <c r="D5" s="141"/>
      <c r="E5" s="141"/>
      <c r="F5" s="142"/>
      <c r="G5" s="141"/>
      <c r="H5" s="143"/>
      <c r="I5" s="143"/>
      <c r="J5" s="143"/>
      <c r="K5" s="143"/>
      <c r="L5" s="143"/>
      <c r="M5" s="143"/>
      <c r="N5" s="143"/>
      <c r="O5" s="143"/>
      <c r="P5" s="144"/>
      <c r="Q5" s="143"/>
      <c r="R5" s="143"/>
      <c r="S5" s="143"/>
      <c r="T5" s="143"/>
      <c r="U5" s="143"/>
      <c r="V5" s="143"/>
      <c r="W5" s="143"/>
      <c r="X5" s="143"/>
      <c r="Y5" s="143"/>
      <c r="Z5" s="143"/>
      <c r="AA5" s="143"/>
      <c r="AB5" s="143"/>
      <c r="AC5" s="144"/>
    </row>
    <row r="6" ht="12" customHeight="1">
      <c r="A6" s="94"/>
      <c r="H6" s="143"/>
      <c r="I6" s="143"/>
      <c r="J6" s="143"/>
      <c r="K6" s="143"/>
      <c r="L6" s="143"/>
      <c r="M6" s="143"/>
      <c r="N6" s="143"/>
      <c r="O6" s="143"/>
      <c r="P6" s="144"/>
      <c r="Q6" s="143"/>
      <c r="R6" s="143"/>
      <c r="S6" s="143"/>
      <c r="T6" s="143"/>
      <c r="U6" s="143"/>
      <c r="V6" s="143"/>
      <c r="W6" s="143"/>
      <c r="X6" s="143"/>
      <c r="Y6" s="143"/>
      <c r="Z6" s="143"/>
      <c r="AA6" s="143"/>
      <c r="AB6" s="143"/>
      <c r="AC6" s="144"/>
    </row>
    <row r="7" ht="12" customHeight="1">
      <c r="A7" s="94"/>
      <c r="H7" s="143"/>
      <c r="I7" s="143"/>
      <c r="J7" s="143"/>
      <c r="K7" s="143"/>
      <c r="L7" s="143"/>
      <c r="M7" s="143"/>
      <c r="N7" s="143"/>
      <c r="O7" s="143"/>
      <c r="P7" s="144"/>
      <c r="Q7" s="143"/>
      <c r="R7" s="143"/>
      <c r="S7" s="143"/>
      <c r="T7" s="143"/>
      <c r="U7" s="143"/>
      <c r="V7" s="143"/>
      <c r="W7" s="143"/>
      <c r="X7" s="143"/>
      <c r="Y7" s="143"/>
      <c r="Z7" s="143"/>
      <c r="AA7" s="143"/>
      <c r="AB7" s="143"/>
      <c r="AC7" s="144"/>
    </row>
    <row r="8" ht="20.25" customHeight="1">
      <c r="A8" s="94"/>
      <c r="B8" s="96" t="s">
        <v>78</v>
      </c>
      <c r="C8" s="96" t="s">
        <v>106</v>
      </c>
      <c r="D8" s="96" t="s">
        <v>107</v>
      </c>
      <c r="E8" s="96" t="str">
        <f>IF(Directions!G7&gt;0,Directions!G7+1,"Second Year")</f>
        <v>Second Year</v>
      </c>
      <c r="F8" s="96" t="s">
        <v>109</v>
      </c>
      <c r="G8" s="96" t="str">
        <f>IF(Directions!G7&gt;0,Directions!G7+2,"Third Year")</f>
        <v>Third Year</v>
      </c>
      <c r="H8" s="143"/>
      <c r="I8" s="143"/>
      <c r="J8" s="143"/>
      <c r="K8" s="143"/>
      <c r="L8" s="143"/>
      <c r="M8" s="143"/>
      <c r="N8" s="143"/>
      <c r="O8" s="143"/>
      <c r="P8" s="144"/>
      <c r="Q8" s="143"/>
      <c r="R8" s="143"/>
      <c r="S8" s="143"/>
      <c r="T8" s="143"/>
      <c r="U8" s="143"/>
      <c r="V8" s="143"/>
      <c r="W8" s="143"/>
      <c r="X8" s="143"/>
      <c r="Y8" s="143"/>
      <c r="Z8" s="143"/>
      <c r="AA8" s="143"/>
      <c r="AB8" s="143"/>
      <c r="AC8" s="144"/>
    </row>
    <row r="9" ht="13.5" customHeight="1">
      <c r="A9" s="145"/>
      <c r="B9" s="98" t="s">
        <v>111</v>
      </c>
      <c r="C9" s="146">
        <f>'2a-PayrollYear1'!R8</f>
        <v>50668</v>
      </c>
      <c r="D9" s="147">
        <v>0.2</v>
      </c>
      <c r="E9" s="148">
        <f t="shared" si="0" ref="E9:G23">C9*D9+C9</f>
        <v>60801.6</v>
      </c>
      <c r="F9" s="147">
        <v>0.3</v>
      </c>
      <c r="G9" s="148">
        <f t="shared" si="0"/>
        <v>79042.08</v>
      </c>
      <c r="H9" s="144"/>
      <c r="I9" s="144"/>
      <c r="J9" s="144"/>
      <c r="K9" s="144"/>
      <c r="L9" s="144"/>
      <c r="M9" s="144"/>
      <c r="N9" s="144"/>
      <c r="O9" s="144"/>
      <c r="P9" s="144"/>
      <c r="Q9" s="144"/>
      <c r="R9" s="144"/>
      <c r="S9" s="144"/>
      <c r="T9" s="144"/>
      <c r="U9" s="144"/>
      <c r="V9" s="144"/>
      <c r="W9" s="144"/>
      <c r="X9" s="144"/>
      <c r="Y9" s="144"/>
      <c r="Z9" s="144"/>
      <c r="AA9" s="144"/>
      <c r="AB9" s="144"/>
      <c r="AC9" s="144"/>
    </row>
    <row r="10" ht="12" customHeight="1">
      <c r="A10" s="89"/>
      <c r="B10" s="105" t="s">
        <v>112</v>
      </c>
      <c r="C10" s="149">
        <f>'2a-PayrollYear1'!R9</f>
        <v>0</v>
      </c>
      <c r="D10" s="150">
        <v>0.2</v>
      </c>
      <c r="E10" s="151">
        <f t="shared" si="0"/>
        <v>0</v>
      </c>
      <c r="F10" s="150">
        <v>0.3</v>
      </c>
      <c r="G10" s="151">
        <f t="shared" si="0"/>
        <v>0</v>
      </c>
      <c r="H10" s="95"/>
      <c r="I10" s="95"/>
      <c r="J10" s="95"/>
      <c r="K10" s="95"/>
      <c r="L10" s="95"/>
      <c r="M10" s="95"/>
      <c r="N10" s="95"/>
      <c r="O10" s="95"/>
      <c r="P10" s="152"/>
      <c r="Q10" s="94"/>
      <c r="R10" s="94"/>
      <c r="S10" s="94"/>
      <c r="T10" s="95"/>
      <c r="U10" s="95"/>
      <c r="V10" s="95"/>
      <c r="W10" s="95"/>
      <c r="X10" s="95"/>
      <c r="Y10" s="95"/>
      <c r="Z10" s="95"/>
      <c r="AA10" s="95"/>
      <c r="AB10" s="95"/>
      <c r="AC10" s="152"/>
    </row>
    <row r="11" ht="12" customHeight="1">
      <c r="A11" s="140"/>
      <c r="B11" s="105" t="s">
        <v>113</v>
      </c>
      <c r="C11" s="149">
        <f>'2a-PayrollYear1'!R10</f>
        <v>0</v>
      </c>
      <c r="D11" s="150">
        <v>0.1</v>
      </c>
      <c r="E11" s="151">
        <f t="shared" si="0"/>
        <v>0</v>
      </c>
      <c r="F11" s="150">
        <v>0.3</v>
      </c>
      <c r="G11" s="151">
        <f t="shared" si="0"/>
        <v>0</v>
      </c>
      <c r="H11" s="140"/>
      <c r="I11" s="140"/>
      <c r="J11" s="140"/>
      <c r="K11" s="140"/>
      <c r="L11" s="140"/>
      <c r="M11" s="140"/>
      <c r="N11" s="140"/>
      <c r="O11" s="140"/>
      <c r="P11" s="140"/>
      <c r="Q11" s="140"/>
      <c r="R11" s="140"/>
      <c r="S11" s="140"/>
      <c r="T11" s="140"/>
      <c r="U11" s="140"/>
      <c r="V11" s="140"/>
      <c r="W11" s="140"/>
      <c r="X11" s="140"/>
      <c r="Y11" s="140"/>
      <c r="Z11" s="140"/>
      <c r="AA11" s="140"/>
      <c r="AB11" s="140"/>
      <c r="AC11" s="140"/>
    </row>
    <row r="12" ht="12" customHeight="1">
      <c r="A12" s="94"/>
      <c r="B12" s="105" t="s">
        <v>87</v>
      </c>
      <c r="C12" s="149">
        <f>'2a-PayrollYear1'!R11</f>
        <v>0</v>
      </c>
      <c r="D12" s="150">
        <v>0.03</v>
      </c>
      <c r="E12" s="151">
        <f t="shared" si="0"/>
        <v>0</v>
      </c>
      <c r="F12" s="150">
        <v>0.03</v>
      </c>
      <c r="G12" s="151">
        <f t="shared" si="0"/>
        <v>0</v>
      </c>
      <c r="H12" s="143"/>
      <c r="I12" s="143"/>
      <c r="J12" s="143"/>
      <c r="K12" s="143"/>
      <c r="L12" s="143"/>
      <c r="M12" s="143"/>
      <c r="N12" s="143"/>
      <c r="O12" s="143"/>
      <c r="P12" s="144"/>
      <c r="Q12" s="143"/>
      <c r="R12" s="143"/>
      <c r="S12" s="143"/>
      <c r="T12" s="143"/>
      <c r="U12" s="143"/>
      <c r="V12" s="143"/>
      <c r="W12" s="143"/>
      <c r="X12" s="143"/>
      <c r="Y12" s="143"/>
      <c r="Z12" s="143"/>
      <c r="AA12" s="143"/>
      <c r="AB12" s="143"/>
      <c r="AC12" s="144"/>
    </row>
    <row r="13" ht="13.5" customHeight="1">
      <c r="A13" s="94"/>
      <c r="B13" s="114" t="s">
        <v>88</v>
      </c>
      <c r="C13" s="111">
        <f t="shared" si="1" ref="C13:G13">SUM(C9:C12)</f>
        <v>50668</v>
      </c>
      <c r="D13" s="153"/>
      <c r="E13" s="154">
        <f t="shared" si="1"/>
        <v>60801.6</v>
      </c>
      <c r="F13" s="153"/>
      <c r="G13" s="154">
        <f t="shared" si="1"/>
        <v>79042.08</v>
      </c>
      <c r="H13" s="143"/>
      <c r="I13" s="143"/>
      <c r="J13" s="143"/>
      <c r="K13" s="143"/>
      <c r="L13" s="143"/>
      <c r="M13" s="143"/>
      <c r="N13" s="143"/>
      <c r="O13" s="143"/>
      <c r="P13" s="144"/>
      <c r="Q13" s="143"/>
      <c r="R13" s="143"/>
      <c r="S13" s="143"/>
      <c r="T13" s="143"/>
      <c r="U13" s="143"/>
      <c r="V13" s="143"/>
      <c r="W13" s="143"/>
      <c r="X13" s="143"/>
      <c r="Y13" s="143"/>
      <c r="Z13" s="143"/>
      <c r="AA13" s="143"/>
      <c r="AB13" s="143"/>
      <c r="AC13" s="144"/>
    </row>
    <row r="14" ht="12" customHeight="1">
      <c r="A14" s="94"/>
      <c r="B14" s="114"/>
      <c r="C14" s="155"/>
      <c r="D14" s="153"/>
      <c r="E14" s="151"/>
      <c r="F14" s="153"/>
      <c r="G14" s="151"/>
      <c r="H14" s="143"/>
      <c r="I14" s="143"/>
      <c r="J14" s="143"/>
      <c r="K14" s="143"/>
      <c r="L14" s="143"/>
      <c r="M14" s="143"/>
      <c r="N14" s="143"/>
      <c r="O14" s="143"/>
      <c r="P14" s="144"/>
      <c r="Q14" s="143"/>
      <c r="R14" s="143"/>
      <c r="S14" s="143"/>
      <c r="T14" s="143"/>
      <c r="U14" s="143"/>
      <c r="V14" s="143"/>
      <c r="W14" s="143"/>
      <c r="X14" s="143"/>
      <c r="Y14" s="143"/>
      <c r="Z14" s="143"/>
      <c r="AA14" s="143"/>
      <c r="AB14" s="143"/>
      <c r="AC14" s="144"/>
    </row>
    <row r="15" ht="14.25" customHeight="1">
      <c r="A15" s="94"/>
      <c r="B15" s="96" t="s">
        <v>89</v>
      </c>
      <c r="C15" s="96"/>
      <c r="D15" s="156"/>
      <c r="E15" s="96"/>
      <c r="F15" s="156"/>
      <c r="G15" s="96"/>
      <c r="H15" s="143"/>
      <c r="I15" s="143"/>
      <c r="J15" s="143"/>
      <c r="K15" s="143"/>
      <c r="L15" s="143"/>
      <c r="M15" s="143"/>
      <c r="N15" s="143"/>
      <c r="O15" s="143"/>
      <c r="P15" s="144"/>
      <c r="Q15" s="143"/>
      <c r="R15" s="143"/>
      <c r="S15" s="143"/>
      <c r="T15" s="143"/>
      <c r="U15" s="143"/>
      <c r="V15" s="143"/>
      <c r="W15" s="143"/>
      <c r="X15" s="143"/>
      <c r="Y15" s="143"/>
      <c r="Z15" s="143"/>
      <c r="AA15" s="143"/>
      <c r="AB15" s="143"/>
      <c r="AC15" s="144"/>
    </row>
    <row r="16" ht="13.5" customHeight="1">
      <c r="A16" s="94"/>
      <c r="B16" s="98" t="s">
        <v>93</v>
      </c>
      <c r="C16" s="146">
        <f>'2a-PayrollYear1'!R15</f>
        <v>3141.416</v>
      </c>
      <c r="D16" s="147">
        <v>0.2</v>
      </c>
      <c r="E16" s="148">
        <f t="shared" si="0"/>
        <v>3769.6992</v>
      </c>
      <c r="F16" s="147">
        <v>0.3</v>
      </c>
      <c r="G16" s="148">
        <f t="shared" si="0"/>
        <v>4900.60896</v>
      </c>
      <c r="H16" s="143"/>
      <c r="I16" s="143"/>
      <c r="J16" s="143"/>
      <c r="K16" s="143"/>
      <c r="L16" s="143"/>
      <c r="M16" s="143"/>
      <c r="N16" s="143"/>
      <c r="O16" s="143"/>
      <c r="P16" s="144"/>
      <c r="Q16" s="143"/>
      <c r="R16" s="143"/>
      <c r="S16" s="143"/>
      <c r="T16" s="143"/>
      <c r="U16" s="143"/>
      <c r="V16" s="143"/>
      <c r="W16" s="143"/>
      <c r="X16" s="143"/>
      <c r="Y16" s="143"/>
      <c r="Z16" s="143"/>
      <c r="AA16" s="143"/>
      <c r="AB16" s="143"/>
      <c r="AC16" s="144"/>
    </row>
    <row r="17" ht="13.5" customHeight="1">
      <c r="A17" s="94"/>
      <c r="B17" s="105" t="s">
        <v>94</v>
      </c>
      <c r="C17" s="149">
        <f>'2a-PayrollYear1'!R16</f>
        <v>734.686</v>
      </c>
      <c r="D17" s="150">
        <v>0.2</v>
      </c>
      <c r="E17" s="151">
        <f t="shared" si="0"/>
        <v>881.6232</v>
      </c>
      <c r="F17" s="150">
        <v>0.3</v>
      </c>
      <c r="G17" s="151">
        <f t="shared" si="0"/>
        <v>1146.11016</v>
      </c>
      <c r="H17" s="143"/>
      <c r="I17" s="143"/>
      <c r="J17" s="143"/>
      <c r="K17" s="143"/>
      <c r="L17" s="143"/>
      <c r="M17" s="143"/>
      <c r="N17" s="143"/>
      <c r="O17" s="143"/>
      <c r="P17" s="144"/>
      <c r="Q17" s="143"/>
      <c r="R17" s="143"/>
      <c r="S17" s="143"/>
      <c r="T17" s="143"/>
      <c r="U17" s="143"/>
      <c r="V17" s="143"/>
      <c r="W17" s="143"/>
      <c r="X17" s="143"/>
      <c r="Y17" s="143"/>
      <c r="Z17" s="143"/>
      <c r="AA17" s="143"/>
      <c r="AB17" s="143"/>
      <c r="AC17" s="144"/>
    </row>
    <row r="18" ht="13.5" customHeight="1">
      <c r="A18" s="94"/>
      <c r="B18" s="105" t="s">
        <v>96</v>
      </c>
      <c r="C18" s="149">
        <f>'2a-PayrollYear1'!R17</f>
        <v>42</v>
      </c>
      <c r="D18" s="150">
        <v>0.2</v>
      </c>
      <c r="E18" s="151">
        <f t="shared" si="0"/>
        <v>50.4</v>
      </c>
      <c r="F18" s="150">
        <v>0.3</v>
      </c>
      <c r="G18" s="151">
        <f t="shared" si="0"/>
        <v>65.52</v>
      </c>
      <c r="H18" s="143"/>
      <c r="I18" s="143"/>
      <c r="J18" s="143"/>
      <c r="K18" s="143"/>
      <c r="L18" s="143"/>
      <c r="M18" s="143"/>
      <c r="N18" s="143"/>
      <c r="O18" s="143"/>
      <c r="P18" s="144"/>
      <c r="Q18" s="143"/>
      <c r="R18" s="143"/>
      <c r="S18" s="143"/>
      <c r="T18" s="143"/>
      <c r="U18" s="143"/>
      <c r="V18" s="143"/>
      <c r="W18" s="143"/>
      <c r="X18" s="143"/>
      <c r="Y18" s="143"/>
      <c r="Z18" s="143"/>
      <c r="AA18" s="143"/>
      <c r="AB18" s="143"/>
      <c r="AC18" s="144"/>
    </row>
    <row r="19" ht="13.5" customHeight="1">
      <c r="A19" s="94"/>
      <c r="B19" s="105" t="s">
        <v>97</v>
      </c>
      <c r="C19" s="149">
        <f>'2a-PayrollYear1'!R18</f>
        <v>241.5</v>
      </c>
      <c r="D19" s="150">
        <v>0.2</v>
      </c>
      <c r="E19" s="151">
        <f t="shared" si="0"/>
        <v>289.8</v>
      </c>
      <c r="F19" s="150">
        <v>0.3</v>
      </c>
      <c r="G19" s="151">
        <f t="shared" si="0"/>
        <v>376.74</v>
      </c>
      <c r="H19" s="143"/>
      <c r="I19" s="143"/>
      <c r="J19" s="143"/>
      <c r="K19" s="143"/>
      <c r="L19" s="143"/>
      <c r="M19" s="143"/>
      <c r="N19" s="143"/>
      <c r="O19" s="143"/>
      <c r="P19" s="144"/>
      <c r="Q19" s="143"/>
      <c r="R19" s="143"/>
      <c r="S19" s="143"/>
      <c r="T19" s="143"/>
      <c r="U19" s="143"/>
      <c r="V19" s="143"/>
      <c r="W19" s="143"/>
      <c r="X19" s="143"/>
      <c r="Y19" s="143"/>
      <c r="Z19" s="143"/>
      <c r="AA19" s="143"/>
      <c r="AB19" s="143"/>
      <c r="AC19" s="144"/>
    </row>
    <row r="20" ht="12" customHeight="1">
      <c r="A20" s="145"/>
      <c r="B20" s="105" t="s">
        <v>98</v>
      </c>
      <c r="C20" s="149">
        <f>'2a-PayrollYear1'!R19</f>
        <v>0</v>
      </c>
      <c r="D20" s="150">
        <v>0</v>
      </c>
      <c r="E20" s="151">
        <f t="shared" si="0"/>
        <v>0</v>
      </c>
      <c r="F20" s="150">
        <v>0</v>
      </c>
      <c r="G20" s="151">
        <f t="shared" si="0"/>
        <v>0</v>
      </c>
      <c r="H20" s="157"/>
      <c r="I20" s="157"/>
      <c r="J20" s="157"/>
      <c r="K20" s="157"/>
      <c r="L20" s="157"/>
      <c r="M20" s="157"/>
      <c r="N20" s="157"/>
      <c r="O20" s="157"/>
      <c r="P20" s="158"/>
      <c r="Q20" s="157"/>
      <c r="R20" s="157"/>
      <c r="S20" s="157"/>
      <c r="T20" s="157"/>
      <c r="U20" s="157"/>
      <c r="V20" s="157"/>
      <c r="W20" s="157"/>
      <c r="X20" s="157"/>
      <c r="Y20" s="157"/>
      <c r="Z20" s="157"/>
      <c r="AA20" s="157"/>
      <c r="AB20" s="157"/>
      <c r="AC20" s="158"/>
    </row>
    <row r="21" ht="12" customHeight="1">
      <c r="A21" s="89"/>
      <c r="B21" s="105" t="s">
        <v>100</v>
      </c>
      <c r="C21" s="149">
        <f>'2a-PayrollYear1'!R20</f>
        <v>0</v>
      </c>
      <c r="D21" s="150">
        <v>0.03</v>
      </c>
      <c r="E21" s="151">
        <f t="shared" si="0"/>
        <v>0</v>
      </c>
      <c r="F21" s="150">
        <v>0.03</v>
      </c>
      <c r="G21" s="151">
        <f t="shared" si="0"/>
        <v>0</v>
      </c>
      <c r="H21" s="95"/>
      <c r="I21" s="95"/>
      <c r="J21" s="95"/>
      <c r="K21" s="95"/>
      <c r="L21" s="95"/>
      <c r="M21" s="95"/>
      <c r="N21" s="95"/>
      <c r="O21" s="95"/>
      <c r="P21" s="95"/>
      <c r="Q21" s="94"/>
      <c r="R21" s="94"/>
      <c r="S21" s="94"/>
      <c r="T21" s="95"/>
      <c r="U21" s="95"/>
      <c r="V21" s="95"/>
      <c r="W21" s="95"/>
      <c r="X21" s="95"/>
      <c r="Y21" s="95"/>
      <c r="Z21" s="95"/>
      <c r="AA21" s="95"/>
      <c r="AB21" s="95"/>
      <c r="AC21" s="95"/>
    </row>
    <row r="22" ht="12" customHeight="1">
      <c r="A22" s="145"/>
      <c r="B22" s="105" t="s">
        <v>101</v>
      </c>
      <c r="C22" s="149">
        <f>'2a-PayrollYear1'!R21</f>
        <v>0</v>
      </c>
      <c r="D22" s="150">
        <v>0.03</v>
      </c>
      <c r="E22" s="151">
        <f t="shared" si="0"/>
        <v>0</v>
      </c>
      <c r="F22" s="150">
        <v>0.03</v>
      </c>
      <c r="G22" s="151">
        <f t="shared" si="0"/>
        <v>0</v>
      </c>
      <c r="H22" s="159"/>
      <c r="I22" s="159"/>
      <c r="J22" s="159"/>
      <c r="K22" s="159"/>
      <c r="L22" s="159"/>
      <c r="M22" s="159"/>
      <c r="N22" s="159"/>
      <c r="O22" s="159"/>
      <c r="P22" s="160"/>
      <c r="Q22" s="159"/>
      <c r="R22" s="159"/>
      <c r="S22" s="159"/>
      <c r="T22" s="159"/>
      <c r="U22" s="159"/>
      <c r="V22" s="159"/>
      <c r="W22" s="159"/>
      <c r="X22" s="159"/>
      <c r="Y22" s="159"/>
      <c r="Z22" s="159"/>
      <c r="AA22" s="159"/>
      <c r="AB22" s="159"/>
      <c r="AC22" s="160"/>
    </row>
    <row r="23" ht="12" customHeight="1">
      <c r="B23" s="105" t="s">
        <v>102</v>
      </c>
      <c r="C23" s="149">
        <f>'2a-PayrollYear1'!R22</f>
        <v>0</v>
      </c>
      <c r="D23" s="150">
        <v>0.1</v>
      </c>
      <c r="E23" s="151">
        <f t="shared" si="0"/>
        <v>0</v>
      </c>
      <c r="F23" s="150">
        <v>0.1</v>
      </c>
      <c r="G23" s="151">
        <f t="shared" si="0"/>
        <v>0</v>
      </c>
    </row>
    <row r="24" ht="13.5" customHeight="1">
      <c r="B24" s="114" t="s">
        <v>103</v>
      </c>
      <c r="C24" s="109">
        <f t="shared" si="2" ref="C24:G24">SUM(C16:C23)</f>
        <v>4159.602</v>
      </c>
      <c r="D24" s="153"/>
      <c r="E24" s="154">
        <f t="shared" si="2"/>
        <v>4991.5224</v>
      </c>
      <c r="F24" s="153"/>
      <c r="G24" s="154">
        <f t="shared" si="2"/>
        <v>6488.97912</v>
      </c>
    </row>
    <row r="25" ht="12" customHeight="1">
      <c r="A25" s="140"/>
      <c r="B25" s="114"/>
      <c r="C25" s="105"/>
      <c r="D25" s="153"/>
      <c r="E25" s="151"/>
      <c r="F25" s="153"/>
      <c r="G25" s="151"/>
      <c r="H25" s="140"/>
      <c r="I25" s="140"/>
      <c r="J25" s="140"/>
      <c r="K25" s="140"/>
      <c r="L25" s="140"/>
      <c r="M25" s="140"/>
      <c r="N25" s="140"/>
      <c r="O25" s="140"/>
      <c r="P25" s="140"/>
    </row>
    <row r="26" ht="13.5" customHeight="1">
      <c r="A26" s="94"/>
      <c r="B26" s="114" t="s">
        <v>104</v>
      </c>
      <c r="C26" s="135">
        <f t="shared" si="3" ref="C26:G26">SUM(C13+C24)</f>
        <v>54827.602</v>
      </c>
      <c r="D26" s="153"/>
      <c r="E26" s="161">
        <f t="shared" si="3"/>
        <v>65793.1224</v>
      </c>
      <c r="F26" s="153"/>
      <c r="G26" s="161">
        <f t="shared" si="3"/>
        <v>85531.05912</v>
      </c>
      <c r="H26" s="143"/>
      <c r="I26" s="143"/>
      <c r="J26" s="143"/>
      <c r="K26" s="143"/>
      <c r="L26" s="143"/>
      <c r="M26" s="143"/>
      <c r="N26" s="143"/>
      <c r="O26" s="143"/>
      <c r="P26" s="144"/>
    </row>
    <row r="27" ht="12" customHeight="1">
      <c r="A27" s="94"/>
      <c r="D27" s="162"/>
      <c r="E27" s="163"/>
      <c r="F27" s="162"/>
      <c r="G27" s="163"/>
      <c r="H27" s="143"/>
      <c r="I27" s="143"/>
      <c r="J27" s="143"/>
      <c r="K27" s="143"/>
      <c r="L27" s="143"/>
      <c r="M27" s="143"/>
      <c r="N27" s="143"/>
      <c r="O27" s="143"/>
      <c r="P27" s="144"/>
    </row>
    <row r="28" ht="12" customHeight="1">
      <c r="A28" s="94"/>
      <c r="D28" s="162"/>
      <c r="E28" s="163"/>
      <c r="F28" s="162"/>
      <c r="G28" s="163"/>
      <c r="H28" s="143"/>
      <c r="I28" s="143"/>
      <c r="J28" s="143"/>
      <c r="K28" s="143"/>
      <c r="L28" s="143"/>
      <c r="M28" s="143"/>
      <c r="N28" s="143"/>
      <c r="O28" s="143"/>
      <c r="P28" s="144"/>
    </row>
    <row r="29" ht="12" customHeight="1">
      <c r="A29" s="94"/>
      <c r="B29" s="164"/>
      <c r="C29" s="164"/>
      <c r="D29" s="162"/>
      <c r="E29" s="163"/>
      <c r="F29" s="162"/>
      <c r="G29" s="163"/>
      <c r="H29" s="143"/>
      <c r="I29" s="143"/>
      <c r="J29" s="143"/>
      <c r="K29" s="143"/>
      <c r="L29" s="143"/>
      <c r="M29" s="143"/>
      <c r="N29" s="143"/>
      <c r="O29" s="143"/>
      <c r="P29" s="144"/>
    </row>
    <row r="30" ht="12" customHeight="1">
      <c r="A30" s="145"/>
      <c r="B30" s="165"/>
      <c r="C30" s="143"/>
      <c r="D30" s="162"/>
      <c r="E30" s="163"/>
      <c r="F30" s="162"/>
      <c r="G30" s="163"/>
      <c r="H30" s="144"/>
      <c r="I30" s="144"/>
      <c r="J30" s="144"/>
      <c r="K30" s="144"/>
      <c r="L30" s="144"/>
      <c r="M30" s="144"/>
      <c r="N30" s="144"/>
      <c r="O30" s="144"/>
      <c r="P30" s="144"/>
    </row>
    <row r="31" ht="12" customHeight="1">
      <c r="A31" s="89"/>
      <c r="B31" s="165"/>
      <c r="C31" s="143"/>
      <c r="D31" s="162"/>
      <c r="E31" s="163"/>
      <c r="F31" s="162"/>
      <c r="G31" s="163"/>
      <c r="H31" s="95"/>
      <c r="I31" s="95"/>
      <c r="J31" s="95"/>
      <c r="K31" s="95"/>
      <c r="L31" s="95"/>
      <c r="M31" s="95"/>
      <c r="N31" s="95"/>
      <c r="O31" s="95"/>
      <c r="P31" s="152"/>
    </row>
    <row r="32" ht="12" customHeight="1">
      <c r="A32" s="140"/>
      <c r="B32" s="165"/>
      <c r="C32" s="143"/>
      <c r="D32" s="162"/>
      <c r="E32" s="163"/>
      <c r="F32" s="162"/>
      <c r="G32" s="163"/>
      <c r="H32" s="140"/>
      <c r="I32" s="140"/>
      <c r="J32" s="140"/>
      <c r="K32" s="140"/>
      <c r="L32" s="140"/>
      <c r="M32" s="140"/>
      <c r="N32" s="140"/>
      <c r="O32" s="140"/>
      <c r="P32" s="140"/>
    </row>
    <row r="33" ht="12" customHeight="1">
      <c r="A33" s="94"/>
      <c r="B33" s="165"/>
      <c r="C33" s="143"/>
      <c r="D33" s="162"/>
      <c r="E33" s="163"/>
      <c r="F33" s="162"/>
      <c r="G33" s="163"/>
      <c r="H33" s="143"/>
      <c r="I33" s="143"/>
      <c r="J33" s="143"/>
      <c r="K33" s="143"/>
      <c r="L33" s="143"/>
      <c r="M33" s="143"/>
      <c r="N33" s="143"/>
      <c r="O33" s="143"/>
      <c r="P33" s="144"/>
    </row>
    <row r="34" ht="12" customHeight="1">
      <c r="A34" s="94"/>
      <c r="B34" s="145"/>
      <c r="C34" s="166"/>
      <c r="D34" s="136"/>
      <c r="E34" s="158"/>
      <c r="F34" s="136"/>
      <c r="G34" s="158"/>
      <c r="H34" s="143"/>
      <c r="I34" s="143"/>
      <c r="J34" s="143"/>
      <c r="K34" s="143"/>
      <c r="L34" s="143"/>
      <c r="M34" s="143"/>
      <c r="N34" s="143"/>
      <c r="O34" s="143"/>
      <c r="P34" s="144"/>
    </row>
    <row r="35" ht="12" customHeight="1">
      <c r="A35" s="94"/>
      <c r="B35" s="89"/>
      <c r="C35" s="167"/>
      <c r="D35" s="152"/>
      <c r="E35" s="94"/>
      <c r="F35" s="94"/>
      <c r="G35" s="95"/>
      <c r="H35" s="143"/>
      <c r="I35" s="143"/>
      <c r="J35" s="143"/>
      <c r="K35" s="143"/>
      <c r="L35" s="143"/>
      <c r="M35" s="143"/>
      <c r="N35" s="143"/>
      <c r="O35" s="143"/>
      <c r="P35" s="144"/>
    </row>
    <row r="36" ht="12" customHeight="1">
      <c r="A36" s="94"/>
      <c r="B36" s="145"/>
      <c r="C36" s="168"/>
      <c r="D36" s="140"/>
      <c r="E36" s="140"/>
      <c r="F36" s="140"/>
      <c r="G36" s="140"/>
      <c r="H36" s="143"/>
      <c r="I36" s="143"/>
      <c r="J36" s="143"/>
      <c r="K36" s="143"/>
      <c r="L36" s="143"/>
      <c r="M36" s="143"/>
      <c r="N36" s="143"/>
      <c r="O36" s="143"/>
      <c r="P36" s="144"/>
    </row>
    <row r="37" ht="12" customHeight="1">
      <c r="A37" s="94"/>
      <c r="B37" s="94"/>
      <c r="C37" s="169"/>
      <c r="D37" s="144"/>
      <c r="E37" s="143"/>
      <c r="F37" s="143"/>
      <c r="G37" s="143"/>
      <c r="H37" s="143"/>
      <c r="I37" s="143"/>
      <c r="J37" s="143"/>
      <c r="K37" s="143"/>
      <c r="L37" s="143"/>
      <c r="M37" s="143"/>
      <c r="N37" s="143"/>
      <c r="O37" s="143"/>
      <c r="P37" s="144"/>
    </row>
    <row r="38" ht="12" customHeight="1">
      <c r="A38" s="94"/>
      <c r="B38" s="94"/>
      <c r="C38" s="169"/>
      <c r="D38" s="144"/>
      <c r="E38" s="143"/>
      <c r="F38" s="143"/>
      <c r="G38" s="143"/>
      <c r="H38" s="143"/>
      <c r="I38" s="143"/>
      <c r="J38" s="143"/>
      <c r="K38" s="143"/>
      <c r="L38" s="143"/>
      <c r="M38" s="143"/>
      <c r="N38" s="143"/>
      <c r="O38" s="143"/>
      <c r="P38" s="144"/>
    </row>
    <row r="39" ht="12" customHeight="1">
      <c r="A39" s="94"/>
      <c r="B39" s="94"/>
      <c r="C39" s="169"/>
      <c r="D39" s="144"/>
      <c r="E39" s="143"/>
      <c r="F39" s="143"/>
      <c r="G39" s="143"/>
      <c r="H39" s="143"/>
      <c r="I39" s="143"/>
      <c r="J39" s="143"/>
      <c r="K39" s="143"/>
      <c r="L39" s="143"/>
      <c r="M39" s="143"/>
      <c r="N39" s="143"/>
      <c r="O39" s="143"/>
      <c r="P39" s="144"/>
    </row>
    <row r="40" ht="12" customHeight="1">
      <c r="A40" s="94"/>
      <c r="B40" s="94"/>
      <c r="C40" s="169"/>
      <c r="D40" s="144"/>
      <c r="E40" s="143"/>
      <c r="F40" s="143"/>
      <c r="G40" s="143"/>
      <c r="H40" s="143"/>
      <c r="I40" s="143"/>
      <c r="J40" s="143"/>
      <c r="K40" s="143"/>
      <c r="L40" s="143"/>
      <c r="M40" s="143"/>
      <c r="N40" s="143"/>
      <c r="O40" s="143"/>
      <c r="P40" s="144"/>
    </row>
    <row r="41" ht="12" customHeight="1">
      <c r="A41" s="145"/>
      <c r="B41" s="94"/>
      <c r="C41" s="169"/>
      <c r="D41" s="144"/>
      <c r="E41" s="143"/>
      <c r="F41" s="143"/>
      <c r="G41" s="143"/>
      <c r="H41" s="157"/>
      <c r="I41" s="157"/>
      <c r="J41" s="157"/>
      <c r="K41" s="157"/>
      <c r="L41" s="157"/>
      <c r="M41" s="157"/>
      <c r="N41" s="157"/>
      <c r="O41" s="157"/>
      <c r="P41" s="158"/>
    </row>
    <row r="42" ht="12" customHeight="1">
      <c r="A42" s="89"/>
      <c r="B42" s="94"/>
      <c r="C42" s="169"/>
      <c r="D42" s="144"/>
      <c r="E42" s="143"/>
      <c r="F42" s="143"/>
      <c r="G42" s="143"/>
      <c r="H42" s="95"/>
      <c r="I42" s="95"/>
      <c r="J42" s="95"/>
      <c r="K42" s="95"/>
      <c r="L42" s="95"/>
      <c r="M42" s="95"/>
      <c r="N42" s="95"/>
      <c r="O42" s="95"/>
      <c r="P42" s="95"/>
    </row>
    <row r="43" ht="12" customHeight="1">
      <c r="A43" s="145"/>
      <c r="B43" s="94"/>
      <c r="C43" s="169"/>
      <c r="D43" s="144"/>
      <c r="E43" s="143"/>
      <c r="F43" s="143"/>
      <c r="G43" s="143"/>
      <c r="H43" s="159"/>
      <c r="I43" s="159"/>
      <c r="J43" s="159"/>
      <c r="K43" s="159"/>
      <c r="L43" s="159"/>
      <c r="M43" s="159"/>
      <c r="N43" s="159"/>
      <c r="O43" s="159"/>
      <c r="P43" s="160"/>
    </row>
    <row r="44" ht="12" customHeight="1">
      <c r="B44" s="94"/>
      <c r="C44" s="169"/>
      <c r="D44" s="144"/>
      <c r="E44" s="143"/>
      <c r="F44" s="143"/>
      <c r="G44" s="143"/>
    </row>
    <row r="45" ht="12" customHeight="1">
      <c r="B45" s="145"/>
      <c r="C45" s="170"/>
      <c r="D45" s="158"/>
      <c r="E45" s="157"/>
      <c r="F45" s="157"/>
      <c r="G45" s="157"/>
    </row>
    <row r="46" ht="12" customHeight="1">
      <c r="B46" s="89"/>
      <c r="C46" s="167"/>
      <c r="D46" s="95"/>
      <c r="E46" s="94"/>
      <c r="F46" s="94"/>
      <c r="G46" s="95"/>
    </row>
    <row r="47" ht="12" customHeight="1">
      <c r="B47" s="145"/>
      <c r="C47" s="171"/>
      <c r="D47" s="160"/>
      <c r="E47" s="159"/>
      <c r="F47" s="159"/>
      <c r="G47" s="159"/>
    </row>
  </sheetData>
  <sheetProtection sheet="1" objects="1" formatColumns="0" formatRows="0" password="CC3D"/>
  <mergeCells>
    <mergeCell ref="C4:D4"/>
    <mergeCell ref="C5:D5"/>
  </mergeCells>
  <printOptions/>
  <pageMargins left="0.7" right="0.7" top="0.75" bottom="0.75" header="0.3" footer="0.3"/>
  <pageSetup useFirstPageNumber="1" paperSize="1" pageOrder="downThenOver" orientation="landscape"/>
  <headerFooter scaleWithDoc="0">
    <oddHeader>&amp;L&amp;C&amp;"Gill Sans MT,Regular"&amp;12Payroll Years 1-3&amp;R</oddHeader>
    <oddFooter>&amp;L&amp;F&amp;C&amp;A&amp;R&amp;D &amp;T</oddFooter>
  </headerFooter>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9C81188-0F2E-D0C8-3B59-D9BF22D2931F}" mc:Ignorable="x14ac xr xr2 xr3">
  <sheetPr>
    <tabColor rgb="FFFFC95B"/>
    <pageSetUpPr fitToPage="1"/>
  </sheetPr>
  <dimension ref="A1:GR50000"/>
  <sheetViews>
    <sheetView topLeftCell="A1" zoomScale="90" workbookViewId="0" tabSelected="1">
      <selection activeCell="D3" sqref="D3"/>
    </sheetView>
  </sheetViews>
  <sheetFormatPr defaultRowHeight="12" defaultColWidth="8.8515625" customHeight="1"/>
  <cols>
    <col min="1" max="1" style="95" width="8.140625" customWidth="1"/>
    <col min="2" max="2" style="95" width="28.28125" customWidth="1"/>
    <col min="3" max="3" style="95" width="17.57421875" customWidth="1"/>
    <col min="4" max="4" style="95" width="12.57421875" customWidth="1"/>
    <col min="5" max="5" style="95" width="11.28125" customWidth="1"/>
    <col min="6" max="6" style="95" width="18.28125" customWidth="1"/>
    <col min="7" max="10" style="95" width="10.28125" customWidth="1"/>
    <col min="11" max="11" style="95" width="11.8515625" customWidth="1"/>
    <col min="12" max="12" style="95" width="10.28125" customWidth="1"/>
    <col min="13" max="14" style="95" width="11.140625" customWidth="1"/>
    <col min="15" max="15" style="95" width="16.28125" customWidth="1"/>
    <col min="16" max="16" style="95" width="12.00390625" customWidth="1"/>
    <col min="17" max="17" style="95" width="13.7109375" customWidth="1"/>
  </cols>
  <sheetData>
    <row r="2" ht="12" customHeight="1">
      <c r="B2" s="173" t="s">
        <v>114</v>
      </c>
      <c r="C2" s="173"/>
      <c r="D2" s="93" t="s">
        <v>115</v>
      </c>
      <c r="E2" s="137" t="s">
        <v>116</v>
      </c>
      <c r="F2" s="95" t="s">
        <v>117</v>
      </c>
    </row>
    <row r="3" ht="13.5" customHeight="1">
      <c r="B3" s="91" t="s">
        <v>118</v>
      </c>
      <c r="C3" s="174">
        <v>1</v>
      </c>
      <c r="D3" s="174">
        <v>0.5</v>
      </c>
      <c r="E3" s="174">
        <v>0.5</v>
      </c>
      <c r="F3" s="174">
        <v>0.5</v>
      </c>
      <c r="H3" s="95"/>
    </row>
    <row r="4" ht="12" customHeight="1">
      <c r="B4" s="93" t="s">
        <v>19</v>
      </c>
      <c r="C4" s="93" t="s">
        <v>20</v>
      </c>
      <c r="D4" s="91"/>
    </row>
    <row r="5" ht="18" customHeight="1">
      <c r="B5" s="94" t="str">
        <f>IF(ISBLANK(Directions!C10),"Owner",Directions!C10)</f>
        <v>Owner</v>
      </c>
      <c r="C5" s="141" t="str">
        <f>IF(ISBLANK(Directions!D10),"Company 1",Directions!D10)</f>
        <v>Company 1</v>
      </c>
      <c r="D5" s="141"/>
    </row>
    <row r="6" ht="12" customHeight="1">
      <c r="D6" s="175"/>
    </row>
    <row r="7" ht="12.75" customHeight="1">
      <c r="B7" s="176" t="s">
        <v>119</v>
      </c>
      <c r="C7" s="176"/>
      <c r="D7" s="176"/>
      <c r="E7" s="176"/>
      <c r="F7" s="105"/>
    </row>
    <row r="8" ht="45" customHeight="1">
      <c r="B8" s="177" t="s">
        <v>120</v>
      </c>
      <c r="C8" s="177" t="s">
        <v>121</v>
      </c>
      <c r="D8" s="178" t="s">
        <v>122</v>
      </c>
      <c r="E8" s="179" t="s">
        <v>123</v>
      </c>
      <c r="F8" s="180" t="s">
        <v>124</v>
      </c>
      <c r="G8" s="181"/>
      <c r="H8" s="182"/>
      <c r="I8" s="182"/>
      <c r="J8" s="182"/>
    </row>
    <row r="9" ht="13.5" customHeight="1">
      <c r="B9" s="183" t="s">
        <v>125</v>
      </c>
      <c r="C9" s="183">
        <v>1</v>
      </c>
      <c r="D9" s="184" cm="1">
        <f t="array" ref="D9">'4-AdditionalInputs'!C56</f>
        <v>540</v>
      </c>
      <c r="E9" s="185" cm="1">
        <f t="array" ref="E9">'4-AdditionalInputs'!C65</f>
        <v>180</v>
      </c>
      <c r="F9" s="186">
        <f t="shared" si="0" ref="F9:F14">D9-E9</f>
        <v>360</v>
      </c>
      <c r="G9" s="187"/>
      <c r="H9" s="182"/>
      <c r="I9" s="182"/>
      <c r="J9" s="182"/>
    </row>
    <row r="10" ht="13.5" customHeight="1">
      <c r="B10" s="183" t="s">
        <v>126</v>
      </c>
      <c r="C10" s="183">
        <v>1</v>
      </c>
      <c r="D10" s="188">
        <f>'4-AdditionalInputs'!C56*'4-AdditionalInputs'!C59</f>
        <v>378</v>
      </c>
      <c r="E10" s="189" cm="1">
        <f t="array" ref="E10">'4-AdditionalInputs'!C65</f>
        <v>180</v>
      </c>
      <c r="F10" s="186">
        <f t="shared" si="0"/>
        <v>198</v>
      </c>
      <c r="G10" s="187"/>
      <c r="H10" s="187"/>
    </row>
    <row r="11" ht="13.5" customHeight="1">
      <c r="B11" s="183" t="s">
        <v>127</v>
      </c>
      <c r="C11" s="183">
        <v>1</v>
      </c>
      <c r="D11" s="188">
        <f>'4-AdditionalInputs'!C56*'4-AdditionalInputs'!C60</f>
        <v>108</v>
      </c>
      <c r="E11" s="190">
        <v>0</v>
      </c>
      <c r="F11" s="186">
        <f t="shared" si="0"/>
        <v>108</v>
      </c>
      <c r="G11" s="187"/>
      <c r="H11" s="187"/>
    </row>
    <row r="12" ht="13.5" customHeight="1">
      <c r="B12" s="183" t="s">
        <v>128</v>
      </c>
      <c r="C12" s="183">
        <v>1</v>
      </c>
      <c r="D12" s="188">
        <f>'4-AdditionalInputs'!C56*'4-AdditionalInputs'!C61</f>
        <v>54</v>
      </c>
      <c r="E12" s="190">
        <v>0</v>
      </c>
      <c r="F12" s="186">
        <f t="shared" si="0"/>
        <v>54</v>
      </c>
      <c r="G12" s="187"/>
      <c r="H12" s="187"/>
    </row>
    <row r="13" ht="12" customHeight="1">
      <c r="B13" s="183"/>
      <c r="C13" s="183"/>
      <c r="D13" s="188"/>
      <c r="E13" s="189"/>
      <c r="F13" s="186">
        <f t="shared" si="0"/>
        <v>0</v>
      </c>
      <c r="G13" s="187"/>
      <c r="H13" s="187"/>
    </row>
    <row r="14" ht="12" customHeight="1">
      <c r="B14" s="183"/>
      <c r="C14" s="183"/>
      <c r="D14" s="188"/>
      <c r="E14" s="189"/>
      <c r="F14" s="186">
        <f t="shared" si="0"/>
        <v>0</v>
      </c>
      <c r="G14" s="187"/>
      <c r="H14" s="187"/>
    </row>
    <row r="15" ht="12" customHeight="1">
      <c r="C15" s="191"/>
      <c r="D15" s="191"/>
      <c r="E15" s="191"/>
      <c r="F15" s="191"/>
      <c r="G15" s="191"/>
      <c r="H15" s="191"/>
      <c r="I15" s="191"/>
      <c r="J15" s="191"/>
      <c r="K15" s="191"/>
      <c r="L15" s="191"/>
      <c r="M15" s="191"/>
      <c r="N15" s="191"/>
    </row>
    <row r="16" ht="27" customHeight="1">
      <c r="B16" s="96" t="s">
        <v>120</v>
      </c>
      <c r="C16" s="96" t="str">
        <f>'2a-PayrollYear1'!F7</f>
        <v>Month 1</v>
      </c>
      <c r="D16" s="96" t="str">
        <f>'2a-PayrollYear1'!G7</f>
        <v>Month 2</v>
      </c>
      <c r="E16" s="96" t="str">
        <f>'2a-PayrollYear1'!H7</f>
        <v>Month 3</v>
      </c>
      <c r="F16" s="96" t="str">
        <f>'2a-PayrollYear1'!I7</f>
        <v>Month 4</v>
      </c>
      <c r="G16" s="96" t="str">
        <f>'2a-PayrollYear1'!J7</f>
        <v>Month 5</v>
      </c>
      <c r="H16" s="96" t="str">
        <f>'2a-PayrollYear1'!K7</f>
        <v>Month 6</v>
      </c>
      <c r="I16" s="96" t="str">
        <f>'2a-PayrollYear1'!L7</f>
        <v>Month 7</v>
      </c>
      <c r="J16" s="96" t="str">
        <f>'2a-PayrollYear1'!M7</f>
        <v>Month 8</v>
      </c>
      <c r="K16" s="96" t="str">
        <f>'2a-PayrollYear1'!N7</f>
        <v>Month 9</v>
      </c>
      <c r="L16" s="96" t="str">
        <f>'2a-PayrollYear1'!O7</f>
        <v>Month 10</v>
      </c>
      <c r="M16" s="96" t="str">
        <f>'2a-PayrollYear1'!P7</f>
        <v>Month 11</v>
      </c>
      <c r="N16" s="96" t="str">
        <f>'2a-PayrollYear1'!Q7</f>
        <v>Month 12</v>
      </c>
      <c r="O16" s="96" t="s">
        <v>83</v>
      </c>
      <c r="P16" s="96" t="s">
        <v>129</v>
      </c>
      <c r="Q16" s="96" t="s">
        <v>130</v>
      </c>
    </row>
    <row r="17" ht="13.5" customHeight="1">
      <c r="B17" s="192" t="str">
        <f>IF(ISBLANK(B9),"Product 1",B9)</f>
        <v>Number of Contractors</v>
      </c>
      <c r="C17" s="193"/>
      <c r="D17" s="193"/>
      <c r="E17" s="193"/>
      <c r="F17" s="193"/>
      <c r="G17" s="193"/>
      <c r="H17" s="193"/>
      <c r="I17" s="193"/>
      <c r="J17" s="193"/>
      <c r="K17" s="193"/>
      <c r="L17" s="193"/>
      <c r="M17" s="193"/>
      <c r="N17" s="193"/>
      <c r="O17" s="194"/>
      <c r="P17" s="98"/>
      <c r="Q17" s="194"/>
    </row>
    <row r="18" ht="13.5" customHeight="1">
      <c r="B18" s="195" t="str">
        <f>IF(ISBLANK(C9),"Units Sold",Unit1&amp;" Sold")</f>
        <v>1 Sold</v>
      </c>
      <c r="C18" s="196">
        <v>18</v>
      </c>
      <c r="D18" s="196">
        <v>18</v>
      </c>
      <c r="E18" s="196">
        <v>18</v>
      </c>
      <c r="F18" s="196">
        <v>35</v>
      </c>
      <c r="G18" s="196">
        <v>35</v>
      </c>
      <c r="H18" s="196">
        <v>35</v>
      </c>
      <c r="I18" s="196">
        <v>53</v>
      </c>
      <c r="J18" s="196">
        <v>53</v>
      </c>
      <c r="K18" s="196">
        <v>70</v>
      </c>
      <c r="L18" s="196">
        <v>70</v>
      </c>
      <c r="M18" s="196">
        <v>88</v>
      </c>
      <c r="N18" s="196">
        <v>106</v>
      </c>
      <c r="O18" s="197">
        <f t="shared" si="2" ref="O18:O54">SUM(C18:N18)</f>
        <v>599</v>
      </c>
      <c r="P18" s="105"/>
      <c r="Q18" s="198">
        <f t="shared" si="5" ref="Q18:Q48">IF($O$52=0,0,O18/$O$52)</f>
        <v>0.323783783783784</v>
      </c>
    </row>
    <row r="19" ht="13.5" customHeight="1">
      <c r="B19" s="199" t="s">
        <v>132</v>
      </c>
      <c r="C19" s="200">
        <f t="shared" si="1" ref="C19:N19">$D$9*C18</f>
        <v>9720</v>
      </c>
      <c r="D19" s="200">
        <f t="shared" si="1"/>
        <v>9720</v>
      </c>
      <c r="E19" s="200">
        <f t="shared" si="1"/>
        <v>9720</v>
      </c>
      <c r="F19" s="200">
        <f t="shared" si="1"/>
        <v>18900</v>
      </c>
      <c r="G19" s="200">
        <f t="shared" si="1"/>
        <v>18900</v>
      </c>
      <c r="H19" s="200">
        <f t="shared" si="1"/>
        <v>18900</v>
      </c>
      <c r="I19" s="200">
        <f t="shared" si="1"/>
        <v>28620</v>
      </c>
      <c r="J19" s="200">
        <f t="shared" si="1"/>
        <v>28620</v>
      </c>
      <c r="K19" s="200">
        <f t="shared" si="1"/>
        <v>37800</v>
      </c>
      <c r="L19" s="200">
        <f t="shared" si="1"/>
        <v>37800</v>
      </c>
      <c r="M19" s="200">
        <f t="shared" si="1"/>
        <v>47520</v>
      </c>
      <c r="N19" s="200">
        <f t="shared" si="1"/>
        <v>57240</v>
      </c>
      <c r="O19" s="201">
        <f t="shared" si="2"/>
        <v>323460</v>
      </c>
      <c r="P19" s="202">
        <f t="shared" si="7" ref="P19:P49">(P20+P21)</f>
        <v>1</v>
      </c>
      <c r="Q19" s="198">
        <f t="shared" si="8" ref="Q19:Q49">IF($O$53=0,0,O19/$O$53)</f>
        <v>0.528778248587571</v>
      </c>
    </row>
    <row r="20" ht="13.5" customHeight="1">
      <c r="B20" s="199" t="s">
        <v>133</v>
      </c>
      <c r="C20" s="200">
        <f t="shared" si="3" ref="C20:N20">$E$9*C18</f>
        <v>3240</v>
      </c>
      <c r="D20" s="200">
        <f t="shared" si="3"/>
        <v>3240</v>
      </c>
      <c r="E20" s="200">
        <f t="shared" si="3"/>
        <v>3240</v>
      </c>
      <c r="F20" s="200">
        <f t="shared" si="3"/>
        <v>6300</v>
      </c>
      <c r="G20" s="200">
        <f t="shared" si="3"/>
        <v>6300</v>
      </c>
      <c r="H20" s="200">
        <f t="shared" si="3"/>
        <v>6300</v>
      </c>
      <c r="I20" s="200">
        <f t="shared" si="3"/>
        <v>9540</v>
      </c>
      <c r="J20" s="200">
        <f t="shared" si="3"/>
        <v>9540</v>
      </c>
      <c r="K20" s="200">
        <f t="shared" si="3"/>
        <v>12600</v>
      </c>
      <c r="L20" s="200">
        <f t="shared" si="3"/>
        <v>12600</v>
      </c>
      <c r="M20" s="200">
        <f t="shared" si="3"/>
        <v>15840</v>
      </c>
      <c r="N20" s="200">
        <f t="shared" si="3"/>
        <v>19080</v>
      </c>
      <c r="O20" s="201">
        <f t="shared" si="2"/>
        <v>107820</v>
      </c>
      <c r="P20" s="202">
        <f t="shared" si="10" ref="P20:P50">IF(O19=0,0,O20/O19)</f>
        <v>0.333333333333333</v>
      </c>
      <c r="Q20" s="198">
        <f t="shared" si="11" ref="Q20:Q50">IF($O$54=0,0,O20/$O$54)</f>
        <v>0.5</v>
      </c>
    </row>
    <row r="21" ht="13.5" customHeight="1">
      <c r="B21" s="203" t="s">
        <v>134</v>
      </c>
      <c r="C21" s="204">
        <f t="shared" si="4" ref="C21:N55">C19-C20</f>
        <v>6480</v>
      </c>
      <c r="D21" s="204">
        <f t="shared" si="4"/>
        <v>6480</v>
      </c>
      <c r="E21" s="204">
        <f t="shared" si="4"/>
        <v>6480</v>
      </c>
      <c r="F21" s="204">
        <f t="shared" si="4"/>
        <v>12600</v>
      </c>
      <c r="G21" s="204">
        <f t="shared" si="4"/>
        <v>12600</v>
      </c>
      <c r="H21" s="204">
        <f t="shared" si="4"/>
        <v>12600</v>
      </c>
      <c r="I21" s="204">
        <f t="shared" si="4"/>
        <v>19080</v>
      </c>
      <c r="J21" s="204">
        <f t="shared" si="4"/>
        <v>19080</v>
      </c>
      <c r="K21" s="204">
        <f t="shared" si="4"/>
        <v>25200</v>
      </c>
      <c r="L21" s="204">
        <f t="shared" si="4"/>
        <v>25200</v>
      </c>
      <c r="M21" s="204">
        <f t="shared" si="4"/>
        <v>31680</v>
      </c>
      <c r="N21" s="204">
        <f t="shared" si="4"/>
        <v>38160</v>
      </c>
      <c r="O21" s="201">
        <f t="shared" si="2"/>
        <v>215640</v>
      </c>
      <c r="P21" s="202">
        <f t="shared" si="12" ref="P21:P51">IF(O19=0,0,O21/O19)</f>
        <v>0.666666666666667</v>
      </c>
      <c r="Q21" s="198">
        <f t="shared" si="13" ref="Q21:Q51">IF($O$55=0,0,O21/$O$55)</f>
        <v>0.544446464279222</v>
      </c>
    </row>
    <row r="22" ht="12" customHeight="1">
      <c r="B22" s="205"/>
      <c r="C22" s="206"/>
      <c r="D22" s="207"/>
      <c r="E22" s="207"/>
      <c r="F22" s="207"/>
      <c r="G22" s="207"/>
      <c r="H22" s="207"/>
      <c r="I22" s="207"/>
      <c r="J22" s="207"/>
      <c r="K22" s="207"/>
      <c r="L22" s="207"/>
      <c r="M22" s="207"/>
      <c r="N22" s="207"/>
      <c r="O22" s="208"/>
      <c r="P22" s="105"/>
      <c r="Q22" s="209"/>
    </row>
    <row r="23" ht="13.5" customHeight="1">
      <c r="B23" s="210" t="str">
        <f>IF(ISBLANK(B10),"Product 2",B10)</f>
        <v>Immediate Revenue (70%)</v>
      </c>
      <c r="C23" s="211"/>
      <c r="D23" s="211"/>
      <c r="E23" s="211"/>
      <c r="F23" s="211"/>
      <c r="G23" s="211"/>
      <c r="H23" s="211"/>
      <c r="I23" s="211"/>
      <c r="J23" s="211"/>
      <c r="K23" s="211"/>
      <c r="L23" s="211"/>
      <c r="M23" s="211"/>
      <c r="N23" s="211"/>
      <c r="O23" s="194"/>
      <c r="P23" s="105"/>
      <c r="Q23" s="209"/>
    </row>
    <row r="24" ht="13.5" customHeight="1">
      <c r="B24" s="195" t="str">
        <f>IF(ISBLANK(C10),"Units Sold",Unit2&amp;" Sold")</f>
        <v>1 Sold</v>
      </c>
      <c r="C24" s="212" cm="1">
        <f t="array" ref="C24">C18</f>
        <v>18</v>
      </c>
      <c r="D24" s="212" cm="1">
        <f t="array" ref="D24">D18</f>
        <v>18</v>
      </c>
      <c r="E24" s="212" cm="1">
        <f t="array" ref="E24">E18</f>
        <v>18</v>
      </c>
      <c r="F24" s="212" cm="1">
        <f t="array" ref="F24">F18</f>
        <v>35</v>
      </c>
      <c r="G24" s="212" cm="1">
        <f t="array" ref="G24">G18</f>
        <v>35</v>
      </c>
      <c r="H24" s="212" cm="1">
        <f t="array" ref="H24">H18</f>
        <v>35</v>
      </c>
      <c r="I24" s="212" cm="1">
        <f t="array" ref="I24">I18</f>
        <v>53</v>
      </c>
      <c r="J24" s="212" cm="1">
        <f t="array" ref="J24">J18</f>
        <v>53</v>
      </c>
      <c r="K24" s="212" cm="1">
        <f t="array" ref="K24">K18</f>
        <v>70</v>
      </c>
      <c r="L24" s="212" cm="1">
        <f t="array" ref="L24">L18</f>
        <v>70</v>
      </c>
      <c r="M24" s="212" cm="1">
        <f t="array" ref="M24">M18</f>
        <v>88</v>
      </c>
      <c r="N24" s="212" cm="1">
        <f t="array" ref="N24">N18</f>
        <v>106</v>
      </c>
      <c r="O24" s="213">
        <f t="shared" si="2"/>
        <v>599</v>
      </c>
      <c r="P24" s="105"/>
      <c r="Q24" s="198">
        <f t="shared" si="5"/>
        <v>0.323783783783784</v>
      </c>
    </row>
    <row r="25" ht="13.5" customHeight="1">
      <c r="B25" s="214" t="s">
        <v>132</v>
      </c>
      <c r="C25" s="200">
        <f t="shared" si="6" ref="C25:N25">$D$10*C24</f>
        <v>6804</v>
      </c>
      <c r="D25" s="200">
        <f t="shared" si="6"/>
        <v>6804</v>
      </c>
      <c r="E25" s="200">
        <f t="shared" si="6"/>
        <v>6804</v>
      </c>
      <c r="F25" s="200">
        <f t="shared" si="6"/>
        <v>13230</v>
      </c>
      <c r="G25" s="200">
        <f t="shared" si="6"/>
        <v>13230</v>
      </c>
      <c r="H25" s="200">
        <f t="shared" si="6"/>
        <v>13230</v>
      </c>
      <c r="I25" s="200">
        <f t="shared" si="6"/>
        <v>20034</v>
      </c>
      <c r="J25" s="200">
        <f t="shared" si="6"/>
        <v>20034</v>
      </c>
      <c r="K25" s="200">
        <f t="shared" si="6"/>
        <v>26460</v>
      </c>
      <c r="L25" s="200">
        <f t="shared" si="6"/>
        <v>26460</v>
      </c>
      <c r="M25" s="200">
        <f t="shared" si="6"/>
        <v>33264</v>
      </c>
      <c r="N25" s="200">
        <f t="shared" si="6"/>
        <v>40068</v>
      </c>
      <c r="O25" s="215">
        <f t="shared" si="2"/>
        <v>226422</v>
      </c>
      <c r="P25" s="202">
        <f t="shared" si="7"/>
        <v>1</v>
      </c>
      <c r="Q25" s="198">
        <f t="shared" si="8"/>
        <v>0.370144774011299</v>
      </c>
    </row>
    <row r="26" ht="13.5" customHeight="1">
      <c r="B26" s="214" t="s">
        <v>133</v>
      </c>
      <c r="C26" s="200">
        <f t="shared" si="9" ref="C26:N26">$E$10*C24</f>
        <v>3240</v>
      </c>
      <c r="D26" s="200">
        <f t="shared" si="9"/>
        <v>3240</v>
      </c>
      <c r="E26" s="200">
        <f t="shared" si="9"/>
        <v>3240</v>
      </c>
      <c r="F26" s="200">
        <f t="shared" si="9"/>
        <v>6300</v>
      </c>
      <c r="G26" s="200">
        <f t="shared" si="9"/>
        <v>6300</v>
      </c>
      <c r="H26" s="200">
        <f t="shared" si="9"/>
        <v>6300</v>
      </c>
      <c r="I26" s="200">
        <f t="shared" si="9"/>
        <v>9540</v>
      </c>
      <c r="J26" s="200">
        <f t="shared" si="9"/>
        <v>9540</v>
      </c>
      <c r="K26" s="200">
        <f t="shared" si="9"/>
        <v>12600</v>
      </c>
      <c r="L26" s="200">
        <f t="shared" si="9"/>
        <v>12600</v>
      </c>
      <c r="M26" s="200">
        <f t="shared" si="9"/>
        <v>15840</v>
      </c>
      <c r="N26" s="200">
        <f t="shared" si="9"/>
        <v>19080</v>
      </c>
      <c r="O26" s="215">
        <f t="shared" si="2"/>
        <v>107820</v>
      </c>
      <c r="P26" s="202">
        <f t="shared" si="10"/>
        <v>0.476190476190476</v>
      </c>
      <c r="Q26" s="198">
        <f t="shared" si="11"/>
        <v>0.5</v>
      </c>
    </row>
    <row r="27" ht="13.5" customHeight="1">
      <c r="B27" s="203" t="s">
        <v>135</v>
      </c>
      <c r="C27" s="204">
        <f t="shared" si="4"/>
        <v>3564</v>
      </c>
      <c r="D27" s="204">
        <f t="shared" si="4"/>
        <v>3564</v>
      </c>
      <c r="E27" s="204">
        <f t="shared" si="4"/>
        <v>3564</v>
      </c>
      <c r="F27" s="204">
        <f t="shared" si="4"/>
        <v>6930</v>
      </c>
      <c r="G27" s="204">
        <f t="shared" si="4"/>
        <v>6930</v>
      </c>
      <c r="H27" s="204">
        <f t="shared" si="4"/>
        <v>6930</v>
      </c>
      <c r="I27" s="204">
        <f t="shared" si="4"/>
        <v>10494</v>
      </c>
      <c r="J27" s="204">
        <f t="shared" si="4"/>
        <v>10494</v>
      </c>
      <c r="K27" s="204">
        <f t="shared" si="4"/>
        <v>13860</v>
      </c>
      <c r="L27" s="204">
        <f t="shared" si="4"/>
        <v>13860</v>
      </c>
      <c r="M27" s="204">
        <f t="shared" si="4"/>
        <v>17424</v>
      </c>
      <c r="N27" s="204">
        <f t="shared" si="4"/>
        <v>20988</v>
      </c>
      <c r="O27" s="215">
        <f t="shared" si="2"/>
        <v>118602</v>
      </c>
      <c r="P27" s="202">
        <f t="shared" si="12"/>
        <v>0.523809523809524</v>
      </c>
      <c r="Q27" s="198">
        <f t="shared" si="13"/>
        <v>0.299445555353572</v>
      </c>
    </row>
    <row r="28" ht="12" customHeight="1">
      <c r="B28" s="205"/>
      <c r="C28" s="207"/>
      <c r="D28" s="207"/>
      <c r="E28" s="207"/>
      <c r="F28" s="207"/>
      <c r="G28" s="207"/>
      <c r="H28" s="207"/>
      <c r="I28" s="207"/>
      <c r="J28" s="207"/>
      <c r="K28" s="207"/>
      <c r="L28" s="207"/>
      <c r="M28" s="207"/>
      <c r="N28" s="207"/>
      <c r="O28" s="208"/>
      <c r="P28" s="105"/>
      <c r="Q28" s="209"/>
    </row>
    <row r="29" ht="13.5" customHeight="1">
      <c r="B29" s="210" t="str">
        <f>IF(ISBLANK(B11),"Product 3",B11)</f>
        <v>Deferred Revenue - 1 Month (20%)</v>
      </c>
      <c r="C29" s="216"/>
      <c r="D29" s="216"/>
      <c r="E29" s="216"/>
      <c r="F29" s="216"/>
      <c r="G29" s="216"/>
      <c r="H29" s="216"/>
      <c r="I29" s="216"/>
      <c r="J29" s="216"/>
      <c r="K29" s="216"/>
      <c r="L29" s="216"/>
      <c r="M29" s="216"/>
      <c r="N29" s="216"/>
      <c r="O29" s="194"/>
      <c r="P29" s="105"/>
      <c r="Q29" s="209"/>
    </row>
    <row r="30" ht="13.5" customHeight="1">
      <c r="B30" s="195" t="str">
        <f>IF(ISBLANK(C11),"Units Sold",Unit3&amp;" Sold")</f>
        <v>1 Sold</v>
      </c>
      <c r="C30" s="196">
        <v>0</v>
      </c>
      <c r="D30" s="212" cm="1">
        <f t="array" ref="D30">C18</f>
        <v>18</v>
      </c>
      <c r="E30" s="212" cm="1">
        <f t="array" ref="E30">D18</f>
        <v>18</v>
      </c>
      <c r="F30" s="212" cm="1">
        <f t="array" ref="F30">E18</f>
        <v>18</v>
      </c>
      <c r="G30" s="212" cm="1">
        <f t="array" ref="G30">F18</f>
        <v>35</v>
      </c>
      <c r="H30" s="212" cm="1">
        <f t="array" ref="H30">G18</f>
        <v>35</v>
      </c>
      <c r="I30" s="212" cm="1">
        <f t="array" ref="I30">H18</f>
        <v>35</v>
      </c>
      <c r="J30" s="212" cm="1">
        <f t="array" ref="J30">I18</f>
        <v>53</v>
      </c>
      <c r="K30" s="212" cm="1">
        <f t="array" ref="K30">J18</f>
        <v>53</v>
      </c>
      <c r="L30" s="212" cm="1">
        <f t="array" ref="L30">K18</f>
        <v>70</v>
      </c>
      <c r="M30" s="212" cm="1">
        <f t="array" ref="M30">L18</f>
        <v>70</v>
      </c>
      <c r="N30" s="212" cm="1">
        <f t="array" ref="N30">M18</f>
        <v>88</v>
      </c>
      <c r="O30" s="213">
        <f t="shared" si="2"/>
        <v>493</v>
      </c>
      <c r="P30" s="105"/>
      <c r="Q30" s="198">
        <f t="shared" si="5"/>
        <v>0.266486486486486</v>
      </c>
    </row>
    <row r="31" ht="13.5" customHeight="1">
      <c r="B31" s="214" t="s">
        <v>132</v>
      </c>
      <c r="C31" s="217">
        <f t="shared" si="14" ref="C31:N31">$D$11*C30</f>
        <v>0</v>
      </c>
      <c r="D31" s="217">
        <f t="shared" si="14"/>
        <v>1944</v>
      </c>
      <c r="E31" s="217">
        <f t="shared" si="14"/>
        <v>1944</v>
      </c>
      <c r="F31" s="217">
        <f t="shared" si="14"/>
        <v>1944</v>
      </c>
      <c r="G31" s="217">
        <f t="shared" si="14"/>
        <v>3780</v>
      </c>
      <c r="H31" s="217">
        <f t="shared" si="14"/>
        <v>3780</v>
      </c>
      <c r="I31" s="217">
        <f t="shared" si="14"/>
        <v>3780</v>
      </c>
      <c r="J31" s="217">
        <f t="shared" si="14"/>
        <v>5724</v>
      </c>
      <c r="K31" s="217">
        <f t="shared" si="14"/>
        <v>5724</v>
      </c>
      <c r="L31" s="217">
        <f t="shared" si="14"/>
        <v>7560</v>
      </c>
      <c r="M31" s="217">
        <f t="shared" si="14"/>
        <v>7560</v>
      </c>
      <c r="N31" s="217">
        <f t="shared" si="14"/>
        <v>9504</v>
      </c>
      <c r="O31" s="215">
        <f t="shared" si="2"/>
        <v>53244</v>
      </c>
      <c r="P31" s="202">
        <f t="shared" si="7"/>
        <v>1</v>
      </c>
      <c r="Q31" s="198">
        <f t="shared" si="8"/>
        <v>0.0870409604519774</v>
      </c>
    </row>
    <row r="32" ht="12" customHeight="1">
      <c r="B32" s="214" t="s">
        <v>133</v>
      </c>
      <c r="C32" s="217">
        <f t="shared" si="15" ref="C32:N32">$E$11*C30</f>
        <v>0</v>
      </c>
      <c r="D32" s="217">
        <f t="shared" si="15"/>
        <v>0</v>
      </c>
      <c r="E32" s="217">
        <f t="shared" si="15"/>
        <v>0</v>
      </c>
      <c r="F32" s="217">
        <f t="shared" si="15"/>
        <v>0</v>
      </c>
      <c r="G32" s="217">
        <f t="shared" si="15"/>
        <v>0</v>
      </c>
      <c r="H32" s="217">
        <f t="shared" si="15"/>
        <v>0</v>
      </c>
      <c r="I32" s="217">
        <f t="shared" si="15"/>
        <v>0</v>
      </c>
      <c r="J32" s="217">
        <f t="shared" si="15"/>
        <v>0</v>
      </c>
      <c r="K32" s="217">
        <f t="shared" si="15"/>
        <v>0</v>
      </c>
      <c r="L32" s="217">
        <f t="shared" si="15"/>
        <v>0</v>
      </c>
      <c r="M32" s="217">
        <f t="shared" si="15"/>
        <v>0</v>
      </c>
      <c r="N32" s="217">
        <f t="shared" si="15"/>
        <v>0</v>
      </c>
      <c r="O32" s="215">
        <f t="shared" si="2"/>
        <v>0</v>
      </c>
      <c r="P32" s="202">
        <f t="shared" si="10"/>
        <v>0</v>
      </c>
      <c r="Q32" s="198">
        <f t="shared" si="11"/>
        <v>0</v>
      </c>
    </row>
    <row r="33" ht="13.5" customHeight="1">
      <c r="B33" s="203" t="s">
        <v>135</v>
      </c>
      <c r="C33" s="204">
        <f t="shared" si="4"/>
        <v>0</v>
      </c>
      <c r="D33" s="204">
        <f t="shared" si="4"/>
        <v>1944</v>
      </c>
      <c r="E33" s="204">
        <f t="shared" si="4"/>
        <v>1944</v>
      </c>
      <c r="F33" s="204">
        <f t="shared" si="4"/>
        <v>1944</v>
      </c>
      <c r="G33" s="204">
        <f t="shared" si="4"/>
        <v>3780</v>
      </c>
      <c r="H33" s="204">
        <f t="shared" si="4"/>
        <v>3780</v>
      </c>
      <c r="I33" s="204">
        <f t="shared" si="4"/>
        <v>3780</v>
      </c>
      <c r="J33" s="204">
        <f t="shared" si="4"/>
        <v>5724</v>
      </c>
      <c r="K33" s="204">
        <f t="shared" si="4"/>
        <v>5724</v>
      </c>
      <c r="L33" s="204">
        <f t="shared" si="4"/>
        <v>7560</v>
      </c>
      <c r="M33" s="204">
        <f t="shared" si="4"/>
        <v>7560</v>
      </c>
      <c r="N33" s="204">
        <f t="shared" si="4"/>
        <v>9504</v>
      </c>
      <c r="O33" s="215">
        <f t="shared" si="2"/>
        <v>53244</v>
      </c>
      <c r="P33" s="202">
        <f t="shared" si="12"/>
        <v>1</v>
      </c>
      <c r="Q33" s="198">
        <f t="shared" si="13"/>
        <v>0.134430103617524</v>
      </c>
    </row>
    <row r="34" ht="12" customHeight="1">
      <c r="B34" s="218"/>
      <c r="C34" s="207"/>
      <c r="D34" s="207"/>
      <c r="E34" s="207"/>
      <c r="F34" s="207"/>
      <c r="G34" s="207"/>
      <c r="H34" s="207"/>
      <c r="I34" s="207"/>
      <c r="J34" s="207"/>
      <c r="K34" s="207"/>
      <c r="L34" s="207"/>
      <c r="M34" s="207"/>
      <c r="N34" s="207"/>
      <c r="O34" s="208"/>
      <c r="P34" s="105"/>
      <c r="Q34" s="209"/>
    </row>
    <row r="35" ht="13.5" customHeight="1">
      <c r="B35" s="210" t="str">
        <f>IF(ISBLANK(B12),"Product 4",B12)</f>
        <v>Deferred Revenue - 6 Months (10%)</v>
      </c>
      <c r="C35" s="211"/>
      <c r="D35" s="211"/>
      <c r="E35" s="211"/>
      <c r="F35" s="211"/>
      <c r="G35" s="211"/>
      <c r="H35" s="211"/>
      <c r="I35" s="211"/>
      <c r="J35" s="211"/>
      <c r="K35" s="211"/>
      <c r="L35" s="211"/>
      <c r="M35" s="211"/>
      <c r="N35" s="211"/>
      <c r="O35" s="194"/>
      <c r="P35" s="105"/>
      <c r="Q35" s="209"/>
    </row>
    <row r="36" ht="13.5" customHeight="1">
      <c r="B36" s="195" t="str">
        <f>IF(ISBLANK(C12),"Units Sold",Unit4&amp;" Sold")</f>
        <v>1 Sold</v>
      </c>
      <c r="C36" s="219">
        <v>0</v>
      </c>
      <c r="D36" s="196">
        <v>0</v>
      </c>
      <c r="E36" s="196">
        <v>0</v>
      </c>
      <c r="F36" s="196">
        <v>0</v>
      </c>
      <c r="G36" s="196">
        <v>0</v>
      </c>
      <c r="H36" s="196">
        <v>0</v>
      </c>
      <c r="I36" s="212" cm="1">
        <f t="array" ref="I36">C18</f>
        <v>18</v>
      </c>
      <c r="J36" s="212" cm="1">
        <f t="array" ref="J36">D18</f>
        <v>18</v>
      </c>
      <c r="K36" s="212" cm="1">
        <f t="array" ref="K36">E18</f>
        <v>18</v>
      </c>
      <c r="L36" s="212" cm="1">
        <f t="array" ref="L36">F18</f>
        <v>35</v>
      </c>
      <c r="M36" s="212" cm="1">
        <f t="array" ref="M36">G18</f>
        <v>35</v>
      </c>
      <c r="N36" s="212" cm="1">
        <f t="array" ref="N36">H18</f>
        <v>35</v>
      </c>
      <c r="O36" s="213">
        <f t="shared" si="2"/>
        <v>159</v>
      </c>
      <c r="P36" s="105"/>
      <c r="Q36" s="198">
        <f t="shared" si="5"/>
        <v>0.0859459459459459</v>
      </c>
    </row>
    <row r="37" ht="13.5" customHeight="1">
      <c r="B37" s="214" t="s">
        <v>132</v>
      </c>
      <c r="C37" s="217">
        <f t="shared" si="16" ref="C37:N37">$D$12*C36</f>
        <v>0</v>
      </c>
      <c r="D37" s="217">
        <f t="shared" si="16"/>
        <v>0</v>
      </c>
      <c r="E37" s="217">
        <f t="shared" si="16"/>
        <v>0</v>
      </c>
      <c r="F37" s="217">
        <f t="shared" si="16"/>
        <v>0</v>
      </c>
      <c r="G37" s="217">
        <f t="shared" si="16"/>
        <v>0</v>
      </c>
      <c r="H37" s="217">
        <f t="shared" si="16"/>
        <v>0</v>
      </c>
      <c r="I37" s="217">
        <f t="shared" si="16"/>
        <v>972</v>
      </c>
      <c r="J37" s="217">
        <f t="shared" si="16"/>
        <v>972</v>
      </c>
      <c r="K37" s="217">
        <f t="shared" si="16"/>
        <v>972</v>
      </c>
      <c r="L37" s="217">
        <f t="shared" si="16"/>
        <v>1890</v>
      </c>
      <c r="M37" s="217">
        <f t="shared" si="16"/>
        <v>1890</v>
      </c>
      <c r="N37" s="217">
        <f t="shared" si="16"/>
        <v>1890</v>
      </c>
      <c r="O37" s="201">
        <f t="shared" si="2"/>
        <v>8586</v>
      </c>
      <c r="P37" s="202">
        <f t="shared" si="7"/>
        <v>1</v>
      </c>
      <c r="Q37" s="198">
        <f t="shared" si="8"/>
        <v>0.0140360169491525</v>
      </c>
    </row>
    <row r="38" ht="12" customHeight="1">
      <c r="B38" s="214" t="s">
        <v>133</v>
      </c>
      <c r="C38" s="217">
        <f t="shared" si="17" ref="C38:N38">$E$12*C36</f>
        <v>0</v>
      </c>
      <c r="D38" s="217">
        <f t="shared" si="17"/>
        <v>0</v>
      </c>
      <c r="E38" s="217">
        <f t="shared" si="17"/>
        <v>0</v>
      </c>
      <c r="F38" s="217">
        <f t="shared" si="17"/>
        <v>0</v>
      </c>
      <c r="G38" s="217">
        <f t="shared" si="17"/>
        <v>0</v>
      </c>
      <c r="H38" s="217">
        <f t="shared" si="17"/>
        <v>0</v>
      </c>
      <c r="I38" s="217">
        <f t="shared" si="17"/>
        <v>0</v>
      </c>
      <c r="J38" s="217">
        <f t="shared" si="17"/>
        <v>0</v>
      </c>
      <c r="K38" s="217">
        <f t="shared" si="17"/>
        <v>0</v>
      </c>
      <c r="L38" s="217">
        <f t="shared" si="17"/>
        <v>0</v>
      </c>
      <c r="M38" s="217">
        <f t="shared" si="17"/>
        <v>0</v>
      </c>
      <c r="N38" s="217">
        <f t="shared" si="17"/>
        <v>0</v>
      </c>
      <c r="O38" s="201">
        <f t="shared" si="2"/>
        <v>0</v>
      </c>
      <c r="P38" s="202">
        <f t="shared" si="10"/>
        <v>0</v>
      </c>
      <c r="Q38" s="198">
        <f t="shared" si="11"/>
        <v>0</v>
      </c>
    </row>
    <row r="39" ht="13.5" customHeight="1">
      <c r="B39" s="203" t="s">
        <v>135</v>
      </c>
      <c r="C39" s="204">
        <f t="shared" si="4"/>
        <v>0</v>
      </c>
      <c r="D39" s="204">
        <f t="shared" si="4"/>
        <v>0</v>
      </c>
      <c r="E39" s="204">
        <f t="shared" si="4"/>
        <v>0</v>
      </c>
      <c r="F39" s="204">
        <f t="shared" si="4"/>
        <v>0</v>
      </c>
      <c r="G39" s="204">
        <f t="shared" si="4"/>
        <v>0</v>
      </c>
      <c r="H39" s="204">
        <f t="shared" si="4"/>
        <v>0</v>
      </c>
      <c r="I39" s="204">
        <f t="shared" si="4"/>
        <v>972</v>
      </c>
      <c r="J39" s="204">
        <f t="shared" si="4"/>
        <v>972</v>
      </c>
      <c r="K39" s="204">
        <f t="shared" si="4"/>
        <v>972</v>
      </c>
      <c r="L39" s="204">
        <f t="shared" si="4"/>
        <v>1890</v>
      </c>
      <c r="M39" s="204">
        <f t="shared" si="4"/>
        <v>1890</v>
      </c>
      <c r="N39" s="204">
        <f t="shared" si="4"/>
        <v>1890</v>
      </c>
      <c r="O39" s="201">
        <f t="shared" si="2"/>
        <v>8586</v>
      </c>
      <c r="P39" s="202">
        <f t="shared" si="12"/>
        <v>1</v>
      </c>
      <c r="Q39" s="198">
        <f t="shared" si="13"/>
        <v>0.0216778767496819</v>
      </c>
    </row>
    <row r="40" ht="12" customHeight="1">
      <c r="B40" s="218"/>
      <c r="C40" s="207"/>
      <c r="D40" s="207"/>
      <c r="E40" s="207"/>
      <c r="F40" s="220"/>
      <c r="G40" s="220"/>
      <c r="H40" s="220"/>
      <c r="I40" s="220"/>
      <c r="J40" s="220"/>
      <c r="K40" s="220"/>
      <c r="L40" s="220"/>
      <c r="M40" s="220"/>
      <c r="N40" s="220"/>
      <c r="O40" s="221"/>
      <c r="P40" s="105"/>
      <c r="Q40" s="209"/>
    </row>
    <row r="41" ht="12" customHeight="1">
      <c r="B41" s="210" t="str">
        <f>IF(ISBLANK(B13),"Product 5",B13)</f>
        <v>Product 5</v>
      </c>
      <c r="C41" s="216"/>
      <c r="D41" s="216"/>
      <c r="E41" s="216"/>
      <c r="F41" s="216"/>
      <c r="G41" s="216"/>
      <c r="H41" s="216"/>
      <c r="I41" s="216"/>
      <c r="J41" s="216"/>
      <c r="K41" s="216"/>
      <c r="L41" s="216"/>
      <c r="M41" s="216"/>
      <c r="N41" s="216"/>
      <c r="O41" s="194"/>
      <c r="P41" s="105"/>
      <c r="Q41" s="209"/>
    </row>
    <row r="42" ht="12" customHeight="1">
      <c r="B42" s="195" t="str">
        <f>IF(ISBLANK(C13),"Units Sold",Unit5&amp;" Sold")</f>
        <v>Units Sold</v>
      </c>
      <c r="C42" s="212"/>
      <c r="D42" s="212">
        <f t="shared" si="18" ref="D42:E48">C42+C42*$C$3</f>
        <v>0</v>
      </c>
      <c r="E42" s="212">
        <f t="shared" si="18"/>
        <v>0</v>
      </c>
      <c r="F42" s="212">
        <f t="shared" si="19" ref="F42:H48">E42+E42*$D$3</f>
        <v>0</v>
      </c>
      <c r="G42" s="212">
        <f t="shared" si="19"/>
        <v>0</v>
      </c>
      <c r="H42" s="212">
        <f t="shared" si="19"/>
        <v>0</v>
      </c>
      <c r="I42" s="212">
        <f t="shared" si="20" ref="I42:K48">H42+H42*$E$3</f>
        <v>0</v>
      </c>
      <c r="J42" s="212">
        <f t="shared" si="20"/>
        <v>0</v>
      </c>
      <c r="K42" s="212">
        <f t="shared" si="20"/>
        <v>0</v>
      </c>
      <c r="L42" s="212">
        <f t="shared" si="21" ref="L42:N48">K42+K42*$F$3</f>
        <v>0</v>
      </c>
      <c r="M42" s="212">
        <f t="shared" si="21"/>
        <v>0</v>
      </c>
      <c r="N42" s="212">
        <f t="shared" si="21"/>
        <v>0</v>
      </c>
      <c r="O42" s="197">
        <f t="shared" si="2"/>
        <v>0</v>
      </c>
      <c r="P42" s="105"/>
      <c r="Q42" s="198">
        <f t="shared" si="5"/>
        <v>0</v>
      </c>
    </row>
    <row r="43" ht="12" customHeight="1">
      <c r="B43" s="214" t="s">
        <v>132</v>
      </c>
      <c r="C43" s="217">
        <f t="shared" si="22" ref="C43:N43">$D$13*C42</f>
        <v>0</v>
      </c>
      <c r="D43" s="217">
        <f t="shared" si="22"/>
        <v>0</v>
      </c>
      <c r="E43" s="217">
        <f t="shared" si="22"/>
        <v>0</v>
      </c>
      <c r="F43" s="217">
        <f t="shared" si="22"/>
        <v>0</v>
      </c>
      <c r="G43" s="217">
        <f t="shared" si="22"/>
        <v>0</v>
      </c>
      <c r="H43" s="217">
        <f t="shared" si="22"/>
        <v>0</v>
      </c>
      <c r="I43" s="217">
        <f t="shared" si="22"/>
        <v>0</v>
      </c>
      <c r="J43" s="217">
        <f t="shared" si="22"/>
        <v>0</v>
      </c>
      <c r="K43" s="217">
        <f t="shared" si="22"/>
        <v>0</v>
      </c>
      <c r="L43" s="217">
        <f t="shared" si="22"/>
        <v>0</v>
      </c>
      <c r="M43" s="217">
        <f t="shared" si="22"/>
        <v>0</v>
      </c>
      <c r="N43" s="217">
        <f t="shared" si="22"/>
        <v>0</v>
      </c>
      <c r="O43" s="201">
        <f t="shared" si="2"/>
        <v>0</v>
      </c>
      <c r="P43" s="202">
        <f t="shared" si="7"/>
        <v>0</v>
      </c>
      <c r="Q43" s="198">
        <f t="shared" si="8"/>
        <v>0</v>
      </c>
    </row>
    <row r="44" ht="12" customHeight="1">
      <c r="B44" s="214" t="s">
        <v>133</v>
      </c>
      <c r="C44" s="217">
        <f t="shared" si="23" ref="C44:N44">$E$13*C42</f>
        <v>0</v>
      </c>
      <c r="D44" s="217">
        <f t="shared" si="23"/>
        <v>0</v>
      </c>
      <c r="E44" s="217">
        <f t="shared" si="23"/>
        <v>0</v>
      </c>
      <c r="F44" s="217">
        <f t="shared" si="23"/>
        <v>0</v>
      </c>
      <c r="G44" s="217">
        <f t="shared" si="23"/>
        <v>0</v>
      </c>
      <c r="H44" s="217">
        <f t="shared" si="23"/>
        <v>0</v>
      </c>
      <c r="I44" s="217">
        <f t="shared" si="23"/>
        <v>0</v>
      </c>
      <c r="J44" s="217">
        <f t="shared" si="23"/>
        <v>0</v>
      </c>
      <c r="K44" s="217">
        <f t="shared" si="23"/>
        <v>0</v>
      </c>
      <c r="L44" s="217">
        <f t="shared" si="23"/>
        <v>0</v>
      </c>
      <c r="M44" s="217">
        <f t="shared" si="23"/>
        <v>0</v>
      </c>
      <c r="N44" s="217">
        <f t="shared" si="23"/>
        <v>0</v>
      </c>
      <c r="O44" s="201">
        <f t="shared" si="2"/>
        <v>0</v>
      </c>
      <c r="P44" s="202">
        <f t="shared" si="10"/>
        <v>0</v>
      </c>
      <c r="Q44" s="198">
        <f t="shared" si="11"/>
        <v>0</v>
      </c>
    </row>
    <row r="45" ht="12" customHeight="1">
      <c r="B45" s="203" t="s">
        <v>135</v>
      </c>
      <c r="C45" s="222">
        <f t="shared" si="4"/>
        <v>0</v>
      </c>
      <c r="D45" s="222">
        <f t="shared" si="4"/>
        <v>0</v>
      </c>
      <c r="E45" s="222">
        <f t="shared" si="4"/>
        <v>0</v>
      </c>
      <c r="F45" s="222">
        <f t="shared" si="4"/>
        <v>0</v>
      </c>
      <c r="G45" s="222">
        <f t="shared" si="4"/>
        <v>0</v>
      </c>
      <c r="H45" s="222">
        <f t="shared" si="4"/>
        <v>0</v>
      </c>
      <c r="I45" s="222">
        <f t="shared" si="4"/>
        <v>0</v>
      </c>
      <c r="J45" s="222">
        <f t="shared" si="4"/>
        <v>0</v>
      </c>
      <c r="K45" s="222">
        <f t="shared" si="4"/>
        <v>0</v>
      </c>
      <c r="L45" s="222">
        <f t="shared" si="4"/>
        <v>0</v>
      </c>
      <c r="M45" s="222">
        <f t="shared" si="4"/>
        <v>0</v>
      </c>
      <c r="N45" s="222">
        <f t="shared" si="4"/>
        <v>0</v>
      </c>
      <c r="O45" s="201">
        <f t="shared" si="2"/>
        <v>0</v>
      </c>
      <c r="P45" s="202">
        <f t="shared" si="12"/>
        <v>0</v>
      </c>
      <c r="Q45" s="198">
        <f t="shared" si="13"/>
        <v>0</v>
      </c>
    </row>
    <row r="46" ht="12" customHeight="1">
      <c r="B46" s="218"/>
      <c r="C46" s="223"/>
      <c r="D46" s="223"/>
      <c r="E46" s="223"/>
      <c r="F46" s="223"/>
      <c r="G46" s="223"/>
      <c r="H46" s="223"/>
      <c r="I46" s="223"/>
      <c r="J46" s="223"/>
      <c r="K46" s="223"/>
      <c r="L46" s="223"/>
      <c r="M46" s="223"/>
      <c r="N46" s="223"/>
      <c r="O46" s="221"/>
      <c r="P46" s="105"/>
      <c r="Q46" s="209"/>
    </row>
    <row r="47" ht="12" customHeight="1">
      <c r="B47" s="210" t="str">
        <f>IF(ISBLANK(B14),"Product 6",B14)</f>
        <v>Product 6</v>
      </c>
      <c r="C47" s="224"/>
      <c r="D47" s="224"/>
      <c r="E47" s="224"/>
      <c r="F47" s="224"/>
      <c r="G47" s="224"/>
      <c r="H47" s="224"/>
      <c r="I47" s="224"/>
      <c r="J47" s="224"/>
      <c r="K47" s="224"/>
      <c r="L47" s="224"/>
      <c r="M47" s="224"/>
      <c r="N47" s="224"/>
      <c r="O47" s="194"/>
      <c r="P47" s="105"/>
      <c r="Q47" s="209"/>
    </row>
    <row r="48" ht="12" customHeight="1">
      <c r="B48" s="195" t="str">
        <f>IF(ISBLANK(C14),"Units Sold",Unit6&amp;" Sold")</f>
        <v>Units Sold</v>
      </c>
      <c r="C48" s="225"/>
      <c r="D48" s="212">
        <f t="shared" si="18"/>
        <v>0</v>
      </c>
      <c r="E48" s="212">
        <f t="shared" si="18"/>
        <v>0</v>
      </c>
      <c r="F48" s="212">
        <f t="shared" si="19"/>
        <v>0</v>
      </c>
      <c r="G48" s="212">
        <f t="shared" si="19"/>
        <v>0</v>
      </c>
      <c r="H48" s="212">
        <f t="shared" si="19"/>
        <v>0</v>
      </c>
      <c r="I48" s="212">
        <f t="shared" si="20"/>
        <v>0</v>
      </c>
      <c r="J48" s="212">
        <f t="shared" si="20"/>
        <v>0</v>
      </c>
      <c r="K48" s="212">
        <f t="shared" si="20"/>
        <v>0</v>
      </c>
      <c r="L48" s="212">
        <f t="shared" si="21"/>
        <v>0</v>
      </c>
      <c r="M48" s="212">
        <f t="shared" si="21"/>
        <v>0</v>
      </c>
      <c r="N48" s="212">
        <f t="shared" si="21"/>
        <v>0</v>
      </c>
      <c r="O48" s="197">
        <f t="shared" si="2"/>
        <v>0</v>
      </c>
      <c r="P48" s="105"/>
      <c r="Q48" s="198">
        <f t="shared" si="5"/>
        <v>0</v>
      </c>
    </row>
    <row r="49" ht="12" customHeight="1">
      <c r="B49" s="214" t="s">
        <v>132</v>
      </c>
      <c r="C49" s="226">
        <f t="shared" si="24" ref="C49:N49">$D$14*C48</f>
        <v>0</v>
      </c>
      <c r="D49" s="226">
        <f t="shared" si="24"/>
        <v>0</v>
      </c>
      <c r="E49" s="226">
        <f t="shared" si="24"/>
        <v>0</v>
      </c>
      <c r="F49" s="226">
        <f t="shared" si="24"/>
        <v>0</v>
      </c>
      <c r="G49" s="226">
        <f t="shared" si="24"/>
        <v>0</v>
      </c>
      <c r="H49" s="226">
        <f t="shared" si="24"/>
        <v>0</v>
      </c>
      <c r="I49" s="226">
        <f t="shared" si="24"/>
        <v>0</v>
      </c>
      <c r="J49" s="226">
        <f t="shared" si="24"/>
        <v>0</v>
      </c>
      <c r="K49" s="226">
        <f t="shared" si="24"/>
        <v>0</v>
      </c>
      <c r="L49" s="226">
        <f t="shared" si="24"/>
        <v>0</v>
      </c>
      <c r="M49" s="226">
        <f t="shared" si="24"/>
        <v>0</v>
      </c>
      <c r="N49" s="226">
        <f t="shared" si="24"/>
        <v>0</v>
      </c>
      <c r="O49" s="201">
        <f t="shared" si="2"/>
        <v>0</v>
      </c>
      <c r="P49" s="202">
        <f t="shared" si="7"/>
        <v>0</v>
      </c>
      <c r="Q49" s="198">
        <f t="shared" si="8"/>
        <v>0</v>
      </c>
    </row>
    <row r="50" ht="12" customHeight="1">
      <c r="B50" s="227" t="s">
        <v>133</v>
      </c>
      <c r="C50" s="226">
        <f t="shared" si="25" ref="C50:N50">$E$14*C48</f>
        <v>0</v>
      </c>
      <c r="D50" s="226">
        <f t="shared" si="25"/>
        <v>0</v>
      </c>
      <c r="E50" s="226">
        <f t="shared" si="25"/>
        <v>0</v>
      </c>
      <c r="F50" s="226">
        <f t="shared" si="25"/>
        <v>0</v>
      </c>
      <c r="G50" s="226">
        <f t="shared" si="25"/>
        <v>0</v>
      </c>
      <c r="H50" s="226">
        <f t="shared" si="25"/>
        <v>0</v>
      </c>
      <c r="I50" s="226">
        <f t="shared" si="25"/>
        <v>0</v>
      </c>
      <c r="J50" s="226">
        <f t="shared" si="25"/>
        <v>0</v>
      </c>
      <c r="K50" s="226">
        <f t="shared" si="25"/>
        <v>0</v>
      </c>
      <c r="L50" s="226">
        <f t="shared" si="25"/>
        <v>0</v>
      </c>
      <c r="M50" s="226">
        <f t="shared" si="25"/>
        <v>0</v>
      </c>
      <c r="N50" s="226">
        <f t="shared" si="25"/>
        <v>0</v>
      </c>
      <c r="O50" s="201">
        <f t="shared" si="2"/>
        <v>0</v>
      </c>
      <c r="P50" s="202">
        <f t="shared" si="10"/>
        <v>0</v>
      </c>
      <c r="Q50" s="198">
        <f t="shared" si="11"/>
        <v>0</v>
      </c>
    </row>
    <row r="51" ht="12" customHeight="1">
      <c r="B51" s="199" t="s">
        <v>135</v>
      </c>
      <c r="C51" s="222">
        <f t="shared" si="4"/>
        <v>0</v>
      </c>
      <c r="D51" s="222">
        <f t="shared" si="4"/>
        <v>0</v>
      </c>
      <c r="E51" s="222">
        <f t="shared" si="4"/>
        <v>0</v>
      </c>
      <c r="F51" s="222">
        <f t="shared" si="4"/>
        <v>0</v>
      </c>
      <c r="G51" s="222">
        <f t="shared" si="4"/>
        <v>0</v>
      </c>
      <c r="H51" s="222">
        <f t="shared" si="4"/>
        <v>0</v>
      </c>
      <c r="I51" s="222">
        <f t="shared" si="4"/>
        <v>0</v>
      </c>
      <c r="J51" s="222">
        <f t="shared" si="4"/>
        <v>0</v>
      </c>
      <c r="K51" s="222">
        <f t="shared" si="4"/>
        <v>0</v>
      </c>
      <c r="L51" s="222">
        <f t="shared" si="4"/>
        <v>0</v>
      </c>
      <c r="M51" s="222">
        <f t="shared" si="4"/>
        <v>0</v>
      </c>
      <c r="N51" s="222">
        <f t="shared" si="4"/>
        <v>0</v>
      </c>
      <c r="O51" s="201">
        <f t="shared" si="2"/>
        <v>0</v>
      </c>
      <c r="P51" s="202">
        <f t="shared" si="12"/>
        <v>0</v>
      </c>
      <c r="Q51" s="198">
        <f t="shared" si="13"/>
        <v>0</v>
      </c>
    </row>
    <row r="52" ht="13.5" customHeight="1">
      <c r="B52" s="228" t="s">
        <v>139</v>
      </c>
      <c r="C52" s="229">
        <f t="shared" si="26" ref="C52:O55">C18+C24+C30+C36+C42+C48</f>
        <v>36</v>
      </c>
      <c r="D52" s="229">
        <f t="shared" si="26"/>
        <v>54</v>
      </c>
      <c r="E52" s="229">
        <f t="shared" si="26"/>
        <v>54</v>
      </c>
      <c r="F52" s="229">
        <f t="shared" si="26"/>
        <v>88</v>
      </c>
      <c r="G52" s="229">
        <f t="shared" si="26"/>
        <v>105</v>
      </c>
      <c r="H52" s="229">
        <f t="shared" si="26"/>
        <v>105</v>
      </c>
      <c r="I52" s="229">
        <f t="shared" si="26"/>
        <v>159</v>
      </c>
      <c r="J52" s="229">
        <f t="shared" si="26"/>
        <v>177</v>
      </c>
      <c r="K52" s="229">
        <f t="shared" si="26"/>
        <v>211</v>
      </c>
      <c r="L52" s="229">
        <f t="shared" si="26"/>
        <v>245</v>
      </c>
      <c r="M52" s="229">
        <f t="shared" si="26"/>
        <v>281</v>
      </c>
      <c r="N52" s="229">
        <f t="shared" si="26"/>
        <v>335</v>
      </c>
      <c r="O52" s="197">
        <f t="shared" si="2"/>
        <v>1850</v>
      </c>
      <c r="P52" s="105"/>
      <c r="Q52" s="209"/>
    </row>
    <row r="53" ht="13.5" customHeight="1">
      <c r="B53" s="230" t="s">
        <v>132</v>
      </c>
      <c r="C53" s="231">
        <f t="shared" si="26"/>
        <v>16524</v>
      </c>
      <c r="D53" s="231">
        <f t="shared" si="26"/>
        <v>18468</v>
      </c>
      <c r="E53" s="231">
        <f t="shared" si="26"/>
        <v>18468</v>
      </c>
      <c r="F53" s="231">
        <f t="shared" si="26"/>
        <v>34074</v>
      </c>
      <c r="G53" s="231">
        <f t="shared" si="26"/>
        <v>35910</v>
      </c>
      <c r="H53" s="231">
        <f t="shared" si="26"/>
        <v>35910</v>
      </c>
      <c r="I53" s="231">
        <f t="shared" si="26"/>
        <v>53406</v>
      </c>
      <c r="J53" s="231">
        <f t="shared" si="26"/>
        <v>55350</v>
      </c>
      <c r="K53" s="231">
        <f t="shared" si="26"/>
        <v>70956</v>
      </c>
      <c r="L53" s="231">
        <f t="shared" si="26"/>
        <v>73710</v>
      </c>
      <c r="M53" s="231">
        <f t="shared" si="26"/>
        <v>90234</v>
      </c>
      <c r="N53" s="231">
        <f t="shared" si="26"/>
        <v>108702</v>
      </c>
      <c r="O53" s="201">
        <f t="shared" si="2"/>
        <v>611712</v>
      </c>
      <c r="P53" s="105"/>
      <c r="Q53" s="209"/>
    </row>
    <row r="54" ht="13.5" customHeight="1">
      <c r="B54" s="232" t="s">
        <v>140</v>
      </c>
      <c r="C54" s="233">
        <f t="shared" si="26"/>
        <v>6480</v>
      </c>
      <c r="D54" s="233">
        <f t="shared" si="26"/>
        <v>6480</v>
      </c>
      <c r="E54" s="233">
        <f t="shared" si="26"/>
        <v>6480</v>
      </c>
      <c r="F54" s="233">
        <f t="shared" si="26"/>
        <v>12600</v>
      </c>
      <c r="G54" s="233">
        <f t="shared" si="26"/>
        <v>12600</v>
      </c>
      <c r="H54" s="233">
        <f t="shared" si="26"/>
        <v>12600</v>
      </c>
      <c r="I54" s="233">
        <f t="shared" si="26"/>
        <v>19080</v>
      </c>
      <c r="J54" s="233">
        <f t="shared" si="26"/>
        <v>19080</v>
      </c>
      <c r="K54" s="233">
        <f t="shared" si="26"/>
        <v>25200</v>
      </c>
      <c r="L54" s="233">
        <f t="shared" si="26"/>
        <v>25200</v>
      </c>
      <c r="M54" s="233">
        <f t="shared" si="26"/>
        <v>31680</v>
      </c>
      <c r="N54" s="233">
        <f t="shared" si="26"/>
        <v>38160</v>
      </c>
      <c r="O54" s="201">
        <f t="shared" si="2"/>
        <v>215640</v>
      </c>
      <c r="P54" s="105"/>
      <c r="Q54" s="209"/>
    </row>
    <row r="55" ht="13.5" customHeight="1">
      <c r="B55" s="232" t="s">
        <v>134</v>
      </c>
      <c r="C55" s="234">
        <f t="shared" si="4"/>
        <v>10044</v>
      </c>
      <c r="D55" s="234">
        <f t="shared" si="4"/>
        <v>11988</v>
      </c>
      <c r="E55" s="234">
        <f t="shared" si="4"/>
        <v>11988</v>
      </c>
      <c r="F55" s="234">
        <f t="shared" si="4"/>
        <v>21474</v>
      </c>
      <c r="G55" s="234">
        <f t="shared" si="4"/>
        <v>23310</v>
      </c>
      <c r="H55" s="234">
        <f t="shared" si="4"/>
        <v>23310</v>
      </c>
      <c r="I55" s="234">
        <f t="shared" si="4"/>
        <v>34326</v>
      </c>
      <c r="J55" s="234">
        <f t="shared" si="4"/>
        <v>36270</v>
      </c>
      <c r="K55" s="234">
        <f t="shared" si="4"/>
        <v>45756</v>
      </c>
      <c r="L55" s="234">
        <f t="shared" si="4"/>
        <v>48510</v>
      </c>
      <c r="M55" s="234">
        <f t="shared" si="4"/>
        <v>58554</v>
      </c>
      <c r="N55" s="234">
        <f t="shared" si="4"/>
        <v>70542</v>
      </c>
      <c r="O55" s="215">
        <f t="shared" si="26"/>
        <v>396072</v>
      </c>
      <c r="P55" s="105"/>
      <c r="Q55" s="209"/>
    </row>
    <row r="60" ht="12" customHeight="1">
      <c r="B60" s="235"/>
    </row>
  </sheetData>
  <sheetProtection sheet="1" formatColumns="0" formatRows="0" objects="0" algorithmName="SHA-512" hashValue="yHOcYcq+gsycrEAWN8bapvTNWD2N2ispry18+IFdwnkM9lrwAFpgU/Nr21mZ2eGnECUJ+XIKC9rS43i7v/f78g==" saltValue="uPZFtMB/AgzCSC7U2ZROmA==" spinCount="100000"/>
  <mergeCells>
    <mergeCell ref="C15:N15"/>
    <mergeCell ref="B2:C2"/>
    <mergeCell ref="B7:E7"/>
    <mergeCell ref="C5:D5"/>
  </mergeCells>
  <conditionalFormatting sqref="B9:E14">
    <cfRule type="expression" dxfId="0" priority="40" text="null">
      <formula>LEN(TRIM(B9))=0</formula>
    </cfRule>
  </conditionalFormatting>
  <conditionalFormatting sqref="C18:N18">
    <cfRule type="expression" dxfId="0" priority="6" stopIfTrue="1" text="null">
      <formula>LEN(TRIM(C18))=0</formula>
    </cfRule>
  </conditionalFormatting>
  <conditionalFormatting sqref="C24:N24">
    <cfRule type="expression" dxfId="0" priority="4" stopIfTrue="1" text="null">
      <formula>LEN(TRIM(C24))=0</formula>
    </cfRule>
  </conditionalFormatting>
  <conditionalFormatting sqref="C30:N30">
    <cfRule type="expression" dxfId="0" priority="5" stopIfTrue="1" text="null">
      <formula>LEN(TRIM(C30))=0</formula>
    </cfRule>
  </conditionalFormatting>
  <conditionalFormatting sqref="C36:N36">
    <cfRule type="expression" dxfId="0" priority="3" stopIfTrue="1" text="null">
      <formula>LEN(TRIM(C36))=0</formula>
    </cfRule>
  </conditionalFormatting>
  <conditionalFormatting sqref="C42:N42">
    <cfRule type="expression" dxfId="0" priority="2" stopIfTrue="1" text="null">
      <formula>LEN(TRIM(C42))=0</formula>
    </cfRule>
  </conditionalFormatting>
  <conditionalFormatting sqref="C48:N48">
    <cfRule type="expression" dxfId="0" priority="1" stopIfTrue="1" text="null">
      <formula>LEN(TRIM(C48))=0</formula>
    </cfRule>
  </conditionalFormatting>
  <hyperlinks>
    <hyperlink ref="E8" location="'COGS Calculator'!A1" display="COGS Per Unit"/>
  </hyperlinks>
  <printOptions horizontalCentered="1"/>
  <pageMargins left="0.25" right="0.25" top="0.75" bottom="0.75" header="0.3" footer="0.3"/>
  <pageSetup useFirstPageNumber="1" paperSize="1" scale="62" pageOrder="downThenOver" orientation="landscape"/>
  <headerFooter scaleWithDoc="0">
    <oddHeader>&amp;L&amp;C&amp;"Gill Sans MT,Regular"&amp;12Sales Forecst Year 1&amp;R</oddHeader>
    <oddFooter>&amp;L&amp;"Gill Sans MT,Regular"&amp;12&amp;F&amp;C&amp;"Gill Sans MT,Regular"&amp;12&amp;A&amp;R&amp;"Gill Sans MT,Regular"&amp;12&amp;D &amp;T</oddFooter>
  </headerFooter>
  <drawing r:id="rId3"/>
  <legacyDrawing r:id="rId2"/>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60A25D0B-83B8-9C41-7408-9D89C943D408}" mc:Ignorable="x14ac xr xr2 xr3">
  <sheetPr>
    <tabColor rgb="FFFFC95B"/>
    <pageSetUpPr fitToPage="1"/>
  </sheetPr>
  <dimension ref="A1:GR50000"/>
  <sheetViews>
    <sheetView topLeftCell="B1" workbookViewId="0">
      <selection activeCell="J14" sqref="J14"/>
    </sheetView>
  </sheetViews>
  <sheetFormatPr defaultRowHeight="12" defaultColWidth="8.8515625" customHeight="1"/>
  <cols>
    <col min="1" max="1" style="95" width="26.28125" customWidth="1"/>
    <col min="2" max="2" style="95" width="30.7109375" customWidth="1"/>
    <col min="3" max="3" style="95" width="9.28125" customWidth="1"/>
    <col min="4" max="4" style="95" width="10.28125" customWidth="1"/>
    <col min="5" max="5" style="95" width="9.28125" customWidth="1"/>
    <col min="6" max="6" style="95" width="9.00390625" customWidth="1"/>
    <col min="7" max="7" style="95" width="9.57421875" customWidth="1"/>
    <col min="8" max="8" style="95" width="9.00390625" customWidth="1"/>
    <col min="9" max="9" style="95" width="9.28125" customWidth="1"/>
    <col min="10" max="10" style="95" width="9.00390625" customWidth="1"/>
    <col min="11" max="11" style="95" width="11.8515625" customWidth="1"/>
    <col min="12" max="12" style="95" width="9.00390625" customWidth="1"/>
    <col min="13" max="14" style="95" width="11.28125" customWidth="1"/>
    <col min="15" max="15" style="95" width="14.28125" customWidth="1"/>
    <col min="16" max="16" style="95" width="13.00390625" customWidth="1"/>
    <col min="17" max="17" style="95" width="11.28125" customWidth="1"/>
    <col min="18" max="18" style="95" width="8.8515625" customWidth="1"/>
    <col min="19" max="19" style="95" width="10.28125" customWidth="1"/>
    <col min="20" max="25" style="95" width="8.8515625" customWidth="1"/>
    <col min="26" max="26" style="95" width="11.8515625" customWidth="1"/>
    <col min="27" max="27" style="95" width="8.8515625" customWidth="1"/>
    <col min="28" max="29" style="95" width="11.28125" customWidth="1"/>
    <col min="30" max="30" style="95" width="11.00390625" customWidth="1"/>
    <col min="31" max="31" style="95" width="13.00390625" customWidth="1"/>
    <col min="32" max="32" style="95" width="12.7109375" customWidth="1"/>
  </cols>
  <sheetData>
    <row r="1" ht="12" customHeight="1">
      <c r="G1" s="236"/>
    </row>
    <row r="2" ht="12" customHeight="1">
      <c r="B2" s="93" t="s">
        <v>141</v>
      </c>
    </row>
    <row r="3" ht="21.75" customHeight="1">
      <c r="B3" s="91"/>
      <c r="C3" s="91"/>
    </row>
    <row r="4" ht="21.75" customHeight="1">
      <c r="B4" s="93" t="s">
        <v>142</v>
      </c>
      <c r="C4" s="93" t="s">
        <v>20</v>
      </c>
    </row>
    <row r="5" ht="21.75" customHeight="1">
      <c r="B5" s="94" t="str">
        <f>IF(ISBLANK(Directions!C10),"Owner",Directions!C10)</f>
        <v>Owner</v>
      </c>
      <c r="C5" s="141" t="str">
        <f>IF(ISBLANK(Directions!D10),"Company 1",Directions!D10)</f>
        <v>Company 1</v>
      </c>
      <c r="D5" s="141"/>
      <c r="G5" s="236"/>
    </row>
    <row r="6" ht="21.75" customHeight="1">
      <c r="B6" s="91"/>
      <c r="C6" s="91"/>
      <c r="G6" s="236"/>
    </row>
    <row r="7" ht="12" customHeight="1">
      <c r="B7" s="237" t="s">
        <v>143</v>
      </c>
      <c r="C7" s="238">
        <v>0.03</v>
      </c>
      <c r="D7" s="175"/>
      <c r="G7" s="236"/>
    </row>
    <row r="8" ht="12" customHeight="1">
      <c r="B8" s="237" t="s">
        <v>144</v>
      </c>
      <c r="C8" s="238">
        <v>0.02</v>
      </c>
      <c r="D8" s="175"/>
      <c r="F8" s="236"/>
      <c r="G8" s="236"/>
    </row>
    <row r="9" ht="12" customHeight="1">
      <c r="C9" s="236"/>
      <c r="D9" s="236"/>
      <c r="E9" s="236"/>
      <c r="F9" s="236"/>
      <c r="G9" s="236"/>
      <c r="H9" s="236"/>
      <c r="I9" s="236"/>
      <c r="J9" s="236"/>
      <c r="K9" s="236"/>
      <c r="L9" s="236"/>
      <c r="M9" s="236"/>
    </row>
    <row r="10" ht="27" customHeight="1">
      <c r="A10" s="96" t="s">
        <v>120</v>
      </c>
      <c r="B10" s="96" t="s">
        <v>106</v>
      </c>
      <c r="C10" s="96" t="str">
        <f>'2a-PayrollYear1'!F7</f>
        <v>Month 1</v>
      </c>
      <c r="D10" s="96" t="str">
        <f>'2a-PayrollYear1'!G7</f>
        <v>Month 2</v>
      </c>
      <c r="E10" s="96" t="str">
        <f>'2a-PayrollYear1'!H7</f>
        <v>Month 3</v>
      </c>
      <c r="F10" s="96" t="str">
        <f>'2a-PayrollYear1'!I7</f>
        <v>Month 4</v>
      </c>
      <c r="G10" s="96" t="str">
        <f>'2a-PayrollYear1'!J7</f>
        <v>Month 5</v>
      </c>
      <c r="H10" s="96" t="str">
        <f>'2a-PayrollYear1'!K7</f>
        <v>Month 6</v>
      </c>
      <c r="I10" s="96" t="str">
        <f>'2a-PayrollYear1'!L7</f>
        <v>Month 7</v>
      </c>
      <c r="J10" s="96" t="str">
        <f>'2a-PayrollYear1'!M7</f>
        <v>Month 8</v>
      </c>
      <c r="K10" s="96" t="str">
        <f>'2a-PayrollYear1'!N7</f>
        <v>Month 9</v>
      </c>
      <c r="L10" s="96" t="str">
        <f>'2a-PayrollYear1'!O7</f>
        <v>Month 10</v>
      </c>
      <c r="M10" s="96" t="str">
        <f>'2a-PayrollYear1'!P7</f>
        <v>Month 11</v>
      </c>
      <c r="N10" s="96" t="str">
        <f>'2a-PayrollYear1'!Q7</f>
        <v>Month 12</v>
      </c>
      <c r="O10" s="96" t="s">
        <v>145</v>
      </c>
      <c r="P10" s="96" t="s">
        <v>129</v>
      </c>
      <c r="Q10" s="96" t="s">
        <v>130</v>
      </c>
      <c r="R10" s="96" t="str">
        <f>'2a-PayrollYear1'!F7</f>
        <v>Month 1</v>
      </c>
      <c r="S10" s="96" t="str">
        <f>'2a-PayrollYear1'!G7</f>
        <v>Month 2</v>
      </c>
      <c r="T10" s="96" t="str">
        <f>'2a-PayrollYear1'!H7</f>
        <v>Month 3</v>
      </c>
      <c r="U10" s="96" t="str">
        <f>'2a-PayrollYear1'!I7</f>
        <v>Month 4</v>
      </c>
      <c r="V10" s="96" t="str">
        <f>'2a-PayrollYear1'!J7</f>
        <v>Month 5</v>
      </c>
      <c r="W10" s="96" t="str">
        <f>'2a-PayrollYear1'!K7</f>
        <v>Month 6</v>
      </c>
      <c r="X10" s="96" t="str">
        <f>'2a-PayrollYear1'!L7</f>
        <v>Month 7</v>
      </c>
      <c r="Y10" s="96" t="str">
        <f>'2a-PayrollYear1'!M7</f>
        <v>Month 8</v>
      </c>
      <c r="Z10" s="96" t="str">
        <f>'2a-PayrollYear1'!N7</f>
        <v>Month 9</v>
      </c>
      <c r="AA10" s="96" t="str">
        <f>'2a-PayrollYear1'!O7</f>
        <v>Month 10</v>
      </c>
      <c r="AB10" s="96" t="str">
        <f>'2a-PayrollYear1'!P7</f>
        <v>Month 11</v>
      </c>
      <c r="AC10" s="96" t="str">
        <f>'2a-PayrollYear1'!Q7</f>
        <v>Month 12</v>
      </c>
      <c r="AD10" s="96" t="s">
        <v>146</v>
      </c>
      <c r="AE10" s="96" t="s">
        <v>129</v>
      </c>
      <c r="AF10" s="96" t="s">
        <v>130</v>
      </c>
    </row>
    <row r="11" ht="13.5" customHeight="1">
      <c r="A11" s="192" t="str">
        <f>'3a-SalesForecastYear1'!B17</f>
        <v>Number of Contractors</v>
      </c>
      <c r="B11" s="192"/>
      <c r="C11" s="193"/>
      <c r="D11" s="193"/>
      <c r="E11" s="193"/>
      <c r="F11" s="193"/>
      <c r="G11" s="193"/>
      <c r="H11" s="193"/>
      <c r="I11" s="193"/>
      <c r="J11" s="193"/>
      <c r="K11" s="193"/>
      <c r="L11" s="193"/>
      <c r="M11" s="193"/>
      <c r="N11" s="193"/>
      <c r="O11" s="194"/>
      <c r="P11" s="98"/>
      <c r="Q11" s="194"/>
      <c r="R11" s="193"/>
      <c r="S11" s="193"/>
      <c r="T11" s="193"/>
      <c r="U11" s="193"/>
      <c r="V11" s="193"/>
      <c r="W11" s="193"/>
      <c r="X11" s="193"/>
      <c r="Y11" s="193"/>
      <c r="Z11" s="193"/>
      <c r="AA11" s="193"/>
      <c r="AB11" s="193"/>
      <c r="AC11" s="193"/>
      <c r="AD11" s="194"/>
      <c r="AE11" s="98"/>
      <c r="AF11" s="194"/>
    </row>
    <row r="12" ht="13.5" customHeight="1">
      <c r="A12" s="195" t="str">
        <f>Unit1&amp;" Sold"</f>
        <v>1 Sold</v>
      </c>
      <c r="B12" s="195">
        <f>Unit1_Annual</f>
        <v>599</v>
      </c>
      <c r="C12" s="239">
        <f>'3a-SalesForecastYear1'!N18</f>
        <v>106</v>
      </c>
      <c r="D12" s="239">
        <f t="shared" si="0" ref="D12:N42">C12+C12*$C$7</f>
        <v>109.18</v>
      </c>
      <c r="E12" s="239">
        <f t="shared" si="0"/>
        <v>112.4554</v>
      </c>
      <c r="F12" s="239">
        <f t="shared" si="0"/>
        <v>115.829062</v>
      </c>
      <c r="G12" s="239">
        <f t="shared" si="0"/>
        <v>119.30393386</v>
      </c>
      <c r="H12" s="239">
        <f t="shared" si="0"/>
        <v>122.8830518758</v>
      </c>
      <c r="I12" s="239">
        <f t="shared" si="0"/>
        <v>126.569543432074</v>
      </c>
      <c r="J12" s="239">
        <f t="shared" si="0"/>
        <v>130.366629735036</v>
      </c>
      <c r="K12" s="239">
        <f t="shared" si="0"/>
        <v>134.277628627087</v>
      </c>
      <c r="L12" s="239">
        <f t="shared" si="0"/>
        <v>138.3059574859</v>
      </c>
      <c r="M12" s="239">
        <f t="shared" si="0"/>
        <v>142.455136210477</v>
      </c>
      <c r="N12" s="239">
        <f t="shared" si="0"/>
        <v>146.728790296791</v>
      </c>
      <c r="O12" s="197">
        <f t="shared" si="2" ref="O12:AD48">SUM(C12:N12)</f>
        <v>1504.35513352317</v>
      </c>
      <c r="P12" s="105"/>
      <c r="Q12" s="198">
        <f t="shared" si="7" ref="Q12:Q42">IF($O$46=0,0,O12/$O$46)</f>
        <v>0.316417910447762</v>
      </c>
      <c r="R12" s="239">
        <f t="shared" si="8" ref="R12:R42">N12</f>
        <v>146.728790296791</v>
      </c>
      <c r="S12" s="239">
        <f t="shared" si="1" ref="S12:AC42">R12+R12*$C$8</f>
        <v>149.663366102727</v>
      </c>
      <c r="T12" s="239">
        <f t="shared" si="1"/>
        <v>152.656633424782</v>
      </c>
      <c r="U12" s="239">
        <f t="shared" si="1"/>
        <v>155.709766093278</v>
      </c>
      <c r="V12" s="239">
        <f t="shared" si="1"/>
        <v>158.823961415144</v>
      </c>
      <c r="W12" s="239">
        <f t="shared" si="1"/>
        <v>162.000440643447</v>
      </c>
      <c r="X12" s="239">
        <f t="shared" si="1"/>
        <v>165.240449456316</v>
      </c>
      <c r="Y12" s="239">
        <f t="shared" si="1"/>
        <v>168.545258445442</v>
      </c>
      <c r="Z12" s="239">
        <f t="shared" si="1"/>
        <v>171.916163614351</v>
      </c>
      <c r="AA12" s="239">
        <f t="shared" si="1"/>
        <v>175.354486886638</v>
      </c>
      <c r="AB12" s="239">
        <f t="shared" si="1"/>
        <v>178.861576624371</v>
      </c>
      <c r="AC12" s="239">
        <f t="shared" si="1"/>
        <v>182.438808156858</v>
      </c>
      <c r="AD12" s="197">
        <f t="shared" si="2"/>
        <v>1967.93970116014</v>
      </c>
      <c r="AE12" s="105"/>
      <c r="AF12" s="198">
        <f t="shared" si="9" ref="AF12:AF42">IF($AD$46=0,0,AD12/$AD$46)</f>
        <v>0.316417910447761</v>
      </c>
    </row>
    <row r="13" ht="13.5" customHeight="1">
      <c r="A13" s="199" t="s">
        <v>132</v>
      </c>
      <c r="B13" s="240">
        <f>Category1_Annual_Sales</f>
        <v>323460</v>
      </c>
      <c r="C13" s="241">
        <f>+C12*'3a-SalesForecastYear1'!$D$9</f>
        <v>57240</v>
      </c>
      <c r="D13" s="241">
        <f>+D12*'3a-SalesForecastYear1'!$D$9</f>
        <v>58957.2</v>
      </c>
      <c r="E13" s="241">
        <f>+E12*'3a-SalesForecastYear1'!$D$9</f>
        <v>60725.916</v>
      </c>
      <c r="F13" s="241">
        <f>+F12*'3a-SalesForecastYear1'!$D$9</f>
        <v>62547.69348</v>
      </c>
      <c r="G13" s="241">
        <f>+G12*'3a-SalesForecastYear1'!$D$9</f>
        <v>64424.1242844</v>
      </c>
      <c r="H13" s="241">
        <f>+H12*'3a-SalesForecastYear1'!$D$9</f>
        <v>66356.848012932</v>
      </c>
      <c r="I13" s="241">
        <f>+I12*'3a-SalesForecastYear1'!$D$9</f>
        <v>68347.55345332</v>
      </c>
      <c r="J13" s="241">
        <f>+J12*'3a-SalesForecastYear1'!$D$9</f>
        <v>70397.9800569194</v>
      </c>
      <c r="K13" s="241">
        <f>+K12*'3a-SalesForecastYear1'!$D$9</f>
        <v>72509.919458627</v>
      </c>
      <c r="L13" s="241">
        <f>+L12*'3a-SalesForecastYear1'!$D$9</f>
        <v>74685.217042386</v>
      </c>
      <c r="M13" s="241">
        <f>+M12*'3a-SalesForecastYear1'!$D$9</f>
        <v>76925.7735536576</v>
      </c>
      <c r="N13" s="241">
        <f>+N12*'3a-SalesForecastYear1'!$D$9</f>
        <v>79233.5467602671</v>
      </c>
      <c r="O13" s="201">
        <f t="shared" si="2"/>
        <v>812351.772102509</v>
      </c>
      <c r="P13" s="202">
        <f t="shared" si="3" ref="P13:AE43">(P14+P15)</f>
        <v>1</v>
      </c>
      <c r="Q13" s="198">
        <f t="shared" si="10" ref="Q13:Q43">IF($O$47=0,0,O13/$O$47)</f>
        <v>0.526577247888721</v>
      </c>
      <c r="R13" s="241">
        <f>+R12*'3a-SalesForecastYear1'!$D$9</f>
        <v>79233.5467602671</v>
      </c>
      <c r="S13" s="241">
        <f>+S12*'3a-SalesForecastYear1'!$D$9</f>
        <v>80818.2176954726</v>
      </c>
      <c r="T13" s="241">
        <f>+T12*'3a-SalesForecastYear1'!$D$9</f>
        <v>82434.5820493823</v>
      </c>
      <c r="U13" s="241">
        <f>+U12*'3a-SalesForecastYear1'!$D$9</f>
        <v>84083.2736903701</v>
      </c>
      <c r="V13" s="241">
        <f>+V12*'3a-SalesForecastYear1'!$D$9</f>
        <v>85764.9391641778</v>
      </c>
      <c r="W13" s="241">
        <f>+W12*'3a-SalesForecastYear1'!$D$9</f>
        <v>87480.2379474614</v>
      </c>
      <c r="X13" s="241">
        <f>+X12*'3a-SalesForecastYear1'!$D$9</f>
        <v>89229.8427064106</v>
      </c>
      <c r="Y13" s="241">
        <f>+Y12*'3a-SalesForecastYear1'!$D$9</f>
        <v>91014.4395605387</v>
      </c>
      <c r="Z13" s="241">
        <f>+Z12*'3a-SalesForecastYear1'!$D$9</f>
        <v>92834.7283517495</v>
      </c>
      <c r="AA13" s="241">
        <f>+AA12*'3a-SalesForecastYear1'!$D$9</f>
        <v>94691.4229187845</v>
      </c>
      <c r="AB13" s="241">
        <f>+AB12*'3a-SalesForecastYear1'!$D$9</f>
        <v>96585.2513771603</v>
      </c>
      <c r="AC13" s="241">
        <f>+AC12*'3a-SalesForecastYear1'!$D$9</f>
        <v>98516.9564047033</v>
      </c>
      <c r="AD13" s="201">
        <f t="shared" si="2"/>
        <v>1062687.43862648</v>
      </c>
      <c r="AE13" s="202">
        <f t="shared" si="3"/>
        <v>1</v>
      </c>
      <c r="AF13" s="198">
        <f t="shared" si="11" ref="AF13:AF43">IF($AD$47=0,0,AD13/$AD$47)</f>
        <v>0.526577247888724</v>
      </c>
    </row>
    <row r="14" ht="13.5" customHeight="1">
      <c r="A14" s="199" t="s">
        <v>133</v>
      </c>
      <c r="B14" s="240">
        <f>'3a-SalesForecastYear1'!O20</f>
        <v>107820</v>
      </c>
      <c r="C14" s="241">
        <f>+C12*'3a-SalesForecastYear1'!$E$9</f>
        <v>19080</v>
      </c>
      <c r="D14" s="241">
        <f>+D12*'3a-SalesForecastYear1'!$E$9</f>
        <v>19652.4</v>
      </c>
      <c r="E14" s="241">
        <f>+E12*'3a-SalesForecastYear1'!$E$9</f>
        <v>20241.972</v>
      </c>
      <c r="F14" s="241">
        <f>+F12*'3a-SalesForecastYear1'!$E$9</f>
        <v>20849.23116</v>
      </c>
      <c r="G14" s="241">
        <f>+G12*'3a-SalesForecastYear1'!$E$9</f>
        <v>21474.7080948</v>
      </c>
      <c r="H14" s="241">
        <f>+H12*'3a-SalesForecastYear1'!$E$9</f>
        <v>22118.949337644</v>
      </c>
      <c r="I14" s="241">
        <f>+I12*'3a-SalesForecastYear1'!$E$9</f>
        <v>22782.5178177733</v>
      </c>
      <c r="J14" s="241">
        <f>+J12*'3a-SalesForecastYear1'!$E$9</f>
        <v>23465.9933523065</v>
      </c>
      <c r="K14" s="241">
        <f>+K12*'3a-SalesForecastYear1'!$E$9</f>
        <v>24169.9731528757</v>
      </c>
      <c r="L14" s="241">
        <f>+L12*'3a-SalesForecastYear1'!$E$9</f>
        <v>24895.072347462</v>
      </c>
      <c r="M14" s="241">
        <f>+M12*'3a-SalesForecastYear1'!$E$9</f>
        <v>25641.9245178859</v>
      </c>
      <c r="N14" s="241">
        <f>+N12*'3a-SalesForecastYear1'!$E$9</f>
        <v>26411.1822534224</v>
      </c>
      <c r="O14" s="201">
        <f t="shared" si="2"/>
        <v>270783.92403417</v>
      </c>
      <c r="P14" s="202">
        <f t="shared" si="4" ref="P14:AE44">IF(O13=0,0,O14/O13)</f>
        <v>0.333333333333334</v>
      </c>
      <c r="Q14" s="198">
        <f t="shared" si="12" ref="Q14:Q44">IF($O$48=0,0,O14/$O$48)</f>
        <v>0.5</v>
      </c>
      <c r="R14" s="241">
        <f>+R12*'3a-SalesForecastYear1'!$E$9</f>
        <v>26411.1822534224</v>
      </c>
      <c r="S14" s="241">
        <f>+S12*'3a-SalesForecastYear1'!$E$9</f>
        <v>26939.4058984909</v>
      </c>
      <c r="T14" s="241">
        <f>+T12*'3a-SalesForecastYear1'!$E$9</f>
        <v>27478.1940164608</v>
      </c>
      <c r="U14" s="241">
        <f>+U12*'3a-SalesForecastYear1'!$E$9</f>
        <v>28027.75789679</v>
      </c>
      <c r="V14" s="241">
        <f>+V12*'3a-SalesForecastYear1'!$E$9</f>
        <v>28588.3130547259</v>
      </c>
      <c r="W14" s="241">
        <f>+W12*'3a-SalesForecastYear1'!$E$9</f>
        <v>29160.0793158205</v>
      </c>
      <c r="X14" s="241">
        <f>+X12*'3a-SalesForecastYear1'!$E$9</f>
        <v>29743.2809021369</v>
      </c>
      <c r="Y14" s="241">
        <f>+Y12*'3a-SalesForecastYear1'!$E$9</f>
        <v>30338.1465201796</v>
      </c>
      <c r="Z14" s="241">
        <f>+Z12*'3a-SalesForecastYear1'!$E$9</f>
        <v>30944.9094505832</v>
      </c>
      <c r="AA14" s="241">
        <f>+AA12*'3a-SalesForecastYear1'!$E$9</f>
        <v>31563.8076395948</v>
      </c>
      <c r="AB14" s="241">
        <f>+AB12*'3a-SalesForecastYear1'!$E$9</f>
        <v>32195.0837923868</v>
      </c>
      <c r="AC14" s="241">
        <f>+AC12*'3a-SalesForecastYear1'!$E$9</f>
        <v>32838.9854682344</v>
      </c>
      <c r="AD14" s="201">
        <f t="shared" si="2"/>
        <v>354229.146208826</v>
      </c>
      <c r="AE14" s="202">
        <f t="shared" si="4"/>
        <v>0.333333333333333</v>
      </c>
      <c r="AF14" s="198">
        <f t="shared" si="13" ref="AF14:AF44">IF($AD$48=0,0,AD14/$AD$48)</f>
        <v>0.5</v>
      </c>
    </row>
    <row r="15" ht="13.5" customHeight="1">
      <c r="A15" s="203" t="s">
        <v>134</v>
      </c>
      <c r="B15" s="240">
        <f>'3a-SalesForecastYear1'!O21</f>
        <v>215640</v>
      </c>
      <c r="C15" s="241">
        <f t="shared" si="5" ref="C15:AC49">C13-C14</f>
        <v>38160</v>
      </c>
      <c r="D15" s="241">
        <f t="shared" si="5"/>
        <v>39304.8</v>
      </c>
      <c r="E15" s="241">
        <f t="shared" si="5"/>
        <v>40483.944</v>
      </c>
      <c r="F15" s="241">
        <f t="shared" si="5"/>
        <v>41698.46232</v>
      </c>
      <c r="G15" s="241">
        <f t="shared" si="5"/>
        <v>42949.4161896</v>
      </c>
      <c r="H15" s="241">
        <f t="shared" si="5"/>
        <v>44237.898675288</v>
      </c>
      <c r="I15" s="241">
        <f t="shared" si="5"/>
        <v>45565.0356355467</v>
      </c>
      <c r="J15" s="241">
        <f t="shared" si="5"/>
        <v>46931.9867046129</v>
      </c>
      <c r="K15" s="241">
        <f t="shared" si="5"/>
        <v>48339.9463057513</v>
      </c>
      <c r="L15" s="241">
        <f t="shared" si="5"/>
        <v>49790.144694924</v>
      </c>
      <c r="M15" s="241">
        <f t="shared" si="5"/>
        <v>51283.8490357717</v>
      </c>
      <c r="N15" s="241">
        <f t="shared" si="5"/>
        <v>52822.3645068447</v>
      </c>
      <c r="O15" s="201">
        <f t="shared" si="2"/>
        <v>541567.848068339</v>
      </c>
      <c r="P15" s="202">
        <f t="shared" si="6" ref="P15:AE45">IF(O13=0,0,O15/O13)</f>
        <v>0.666666666666666</v>
      </c>
      <c r="Q15" s="198">
        <f t="shared" si="14" ref="Q15:Q45">IF($O$49=0,0,O15/$O$49)</f>
        <v>0.540954325082926</v>
      </c>
      <c r="R15" s="241">
        <f t="shared" si="5"/>
        <v>52822.3645068447</v>
      </c>
      <c r="S15" s="241">
        <f t="shared" si="5"/>
        <v>53878.8117969817</v>
      </c>
      <c r="T15" s="241">
        <f t="shared" si="5"/>
        <v>54956.3880329215</v>
      </c>
      <c r="U15" s="241">
        <f t="shared" si="5"/>
        <v>56055.5157935801</v>
      </c>
      <c r="V15" s="241">
        <f t="shared" si="5"/>
        <v>57176.6261094519</v>
      </c>
      <c r="W15" s="241">
        <f t="shared" si="5"/>
        <v>58320.1586316409</v>
      </c>
      <c r="X15" s="241">
        <f t="shared" si="5"/>
        <v>59486.5618042737</v>
      </c>
      <c r="Y15" s="241">
        <f t="shared" si="5"/>
        <v>60676.2930403591</v>
      </c>
      <c r="Z15" s="241">
        <f t="shared" si="5"/>
        <v>61889.8189011663</v>
      </c>
      <c r="AA15" s="241">
        <f t="shared" si="5"/>
        <v>63127.6152791897</v>
      </c>
      <c r="AB15" s="241">
        <f t="shared" si="5"/>
        <v>64390.1675847735</v>
      </c>
      <c r="AC15" s="241">
        <f t="shared" si="5"/>
        <v>65677.9709364689</v>
      </c>
      <c r="AD15" s="201">
        <f t="shared" si="2"/>
        <v>708458.292417652</v>
      </c>
      <c r="AE15" s="202">
        <f t="shared" si="6"/>
        <v>0.666666666666665</v>
      </c>
      <c r="AF15" s="198">
        <f t="shared" si="15" ref="AF15:AF45">IF($AD$49=0,0,AD15/$AD$49)</f>
        <v>0.540954325082928</v>
      </c>
    </row>
    <row r="16" ht="12" customHeight="1">
      <c r="A16" s="205"/>
      <c r="B16" s="242"/>
      <c r="C16" s="206"/>
      <c r="D16" s="207"/>
      <c r="E16" s="207"/>
      <c r="F16" s="207"/>
      <c r="G16" s="207"/>
      <c r="H16" s="207"/>
      <c r="I16" s="207"/>
      <c r="J16" s="207"/>
      <c r="K16" s="207"/>
      <c r="L16" s="207"/>
      <c r="M16" s="207"/>
      <c r="N16" s="207"/>
      <c r="O16" s="208"/>
      <c r="P16" s="105"/>
      <c r="Q16" s="209"/>
      <c r="R16" s="206"/>
      <c r="S16" s="207"/>
      <c r="T16" s="207"/>
      <c r="U16" s="207"/>
      <c r="V16" s="207"/>
      <c r="W16" s="207"/>
      <c r="X16" s="207"/>
      <c r="Y16" s="207"/>
      <c r="Z16" s="207"/>
      <c r="AA16" s="207"/>
      <c r="AB16" s="207"/>
      <c r="AC16" s="207"/>
      <c r="AD16" s="208"/>
      <c r="AE16" s="105"/>
      <c r="AF16" s="209"/>
    </row>
    <row r="17" ht="13.5" customHeight="1">
      <c r="A17" s="192" t="str">
        <f>'3a-SalesForecastYear1'!B23</f>
        <v>Immediate Revenue (70%)</v>
      </c>
      <c r="B17" s="192"/>
      <c r="C17" s="211"/>
      <c r="D17" s="211"/>
      <c r="E17" s="211"/>
      <c r="F17" s="211"/>
      <c r="G17" s="211"/>
      <c r="H17" s="211"/>
      <c r="I17" s="211"/>
      <c r="J17" s="211"/>
      <c r="K17" s="211"/>
      <c r="L17" s="211"/>
      <c r="M17" s="211"/>
      <c r="N17" s="211"/>
      <c r="O17" s="194"/>
      <c r="P17" s="105"/>
      <c r="Q17" s="209"/>
      <c r="R17" s="211"/>
      <c r="S17" s="211"/>
      <c r="T17" s="211"/>
      <c r="U17" s="211"/>
      <c r="V17" s="211"/>
      <c r="W17" s="211"/>
      <c r="X17" s="211"/>
      <c r="Y17" s="211"/>
      <c r="Z17" s="211"/>
      <c r="AA17" s="211"/>
      <c r="AB17" s="211"/>
      <c r="AC17" s="211"/>
      <c r="AD17" s="194"/>
      <c r="AE17" s="105"/>
      <c r="AF17" s="209"/>
    </row>
    <row r="18" ht="13.5" customHeight="1">
      <c r="A18" s="195" t="str">
        <f>Unit2&amp;" Sold"</f>
        <v>1 Sold</v>
      </c>
      <c r="B18" s="195">
        <f>Unit2_Annual</f>
        <v>599</v>
      </c>
      <c r="C18" s="239">
        <f>'3a-SalesForecastYear1'!N24</f>
        <v>106</v>
      </c>
      <c r="D18" s="239">
        <f t="shared" si="0"/>
        <v>109.18</v>
      </c>
      <c r="E18" s="239">
        <f t="shared" si="0"/>
        <v>112.4554</v>
      </c>
      <c r="F18" s="239">
        <f t="shared" si="0"/>
        <v>115.829062</v>
      </c>
      <c r="G18" s="239">
        <f t="shared" si="0"/>
        <v>119.30393386</v>
      </c>
      <c r="H18" s="239">
        <f t="shared" si="0"/>
        <v>122.8830518758</v>
      </c>
      <c r="I18" s="239">
        <f t="shared" si="0"/>
        <v>126.569543432074</v>
      </c>
      <c r="J18" s="239">
        <f t="shared" si="0"/>
        <v>130.366629735036</v>
      </c>
      <c r="K18" s="239">
        <f t="shared" si="0"/>
        <v>134.277628627087</v>
      </c>
      <c r="L18" s="239">
        <f t="shared" si="0"/>
        <v>138.3059574859</v>
      </c>
      <c r="M18" s="239">
        <f t="shared" si="0"/>
        <v>142.455136210477</v>
      </c>
      <c r="N18" s="239">
        <f t="shared" si="0"/>
        <v>146.728790296791</v>
      </c>
      <c r="O18" s="213">
        <f t="shared" si="2"/>
        <v>1504.35513352317</v>
      </c>
      <c r="P18" s="105"/>
      <c r="Q18" s="198">
        <f t="shared" si="7"/>
        <v>0.316417910447762</v>
      </c>
      <c r="R18" s="239">
        <f t="shared" si="8"/>
        <v>146.728790296791</v>
      </c>
      <c r="S18" s="239">
        <f t="shared" si="1"/>
        <v>149.663366102727</v>
      </c>
      <c r="T18" s="239">
        <f t="shared" si="1"/>
        <v>152.656633424782</v>
      </c>
      <c r="U18" s="239">
        <f t="shared" si="1"/>
        <v>155.709766093278</v>
      </c>
      <c r="V18" s="239">
        <f t="shared" si="1"/>
        <v>158.823961415144</v>
      </c>
      <c r="W18" s="239">
        <f t="shared" si="1"/>
        <v>162.000440643447</v>
      </c>
      <c r="X18" s="239">
        <f t="shared" si="1"/>
        <v>165.240449456316</v>
      </c>
      <c r="Y18" s="239">
        <f t="shared" si="1"/>
        <v>168.545258445442</v>
      </c>
      <c r="Z18" s="239">
        <f t="shared" si="1"/>
        <v>171.916163614351</v>
      </c>
      <c r="AA18" s="239">
        <f t="shared" si="1"/>
        <v>175.354486886638</v>
      </c>
      <c r="AB18" s="239">
        <f t="shared" si="1"/>
        <v>178.861576624371</v>
      </c>
      <c r="AC18" s="239">
        <f t="shared" si="1"/>
        <v>182.438808156858</v>
      </c>
      <c r="AD18" s="213">
        <f t="shared" si="2"/>
        <v>1967.93970116014</v>
      </c>
      <c r="AE18" s="105"/>
      <c r="AF18" s="198">
        <f t="shared" si="9"/>
        <v>0.316417910447761</v>
      </c>
    </row>
    <row r="19" ht="13.5" customHeight="1">
      <c r="A19" s="214" t="s">
        <v>132</v>
      </c>
      <c r="B19" s="243">
        <f>Category2_Annual_Sales</f>
        <v>226422</v>
      </c>
      <c r="C19" s="241">
        <f>+C18*'3a-SalesForecastYear1'!$D$10</f>
        <v>40068</v>
      </c>
      <c r="D19" s="241">
        <f>+D18*'3a-SalesForecastYear1'!$D$10</f>
        <v>41270.04</v>
      </c>
      <c r="E19" s="241">
        <f>+E18*'3a-SalesForecastYear1'!$D$10</f>
        <v>42508.1412</v>
      </c>
      <c r="F19" s="241">
        <f>+F18*'3a-SalesForecastYear1'!$D$10</f>
        <v>43783.385436</v>
      </c>
      <c r="G19" s="241">
        <f>+G18*'3a-SalesForecastYear1'!$D$10</f>
        <v>45096.88699908</v>
      </c>
      <c r="H19" s="241">
        <f>+H18*'3a-SalesForecastYear1'!$D$10</f>
        <v>46449.7936090524</v>
      </c>
      <c r="I19" s="241">
        <f>+I18*'3a-SalesForecastYear1'!$D$10</f>
        <v>47843.287417324</v>
      </c>
      <c r="J19" s="241">
        <f>+J18*'3a-SalesForecastYear1'!$D$10</f>
        <v>49278.5860398436</v>
      </c>
      <c r="K19" s="241">
        <f>+K18*'3a-SalesForecastYear1'!$D$10</f>
        <v>50756.9436210389</v>
      </c>
      <c r="L19" s="241">
        <f>+L18*'3a-SalesForecastYear1'!$D$10</f>
        <v>52279.6519296702</v>
      </c>
      <c r="M19" s="241">
        <f>+M18*'3a-SalesForecastYear1'!$D$10</f>
        <v>53848.0414875603</v>
      </c>
      <c r="N19" s="241">
        <f>+N18*'3a-SalesForecastYear1'!$D$10</f>
        <v>55463.482732187</v>
      </c>
      <c r="O19" s="215">
        <f t="shared" si="2"/>
        <v>568646.240471756</v>
      </c>
      <c r="P19" s="202">
        <f t="shared" si="3"/>
        <v>1</v>
      </c>
      <c r="Q19" s="198">
        <f t="shared" si="10"/>
        <v>0.368604073522105</v>
      </c>
      <c r="R19" s="241">
        <f>+R18*'3a-SalesForecastYear1'!$D$10</f>
        <v>55463.482732187</v>
      </c>
      <c r="S19" s="241">
        <f>+S18*'3a-SalesForecastYear1'!$D$10</f>
        <v>56572.7523868308</v>
      </c>
      <c r="T19" s="241">
        <f>+T18*'3a-SalesForecastYear1'!$D$10</f>
        <v>57704.2074345676</v>
      </c>
      <c r="U19" s="241">
        <f>+U18*'3a-SalesForecastYear1'!$D$10</f>
        <v>58858.2915832591</v>
      </c>
      <c r="V19" s="241">
        <f>+V18*'3a-SalesForecastYear1'!$D$10</f>
        <v>60035.4574149244</v>
      </c>
      <c r="W19" s="241">
        <f>+W18*'3a-SalesForecastYear1'!$D$10</f>
        <v>61236.166563223</v>
      </c>
      <c r="X19" s="241">
        <f>+X18*'3a-SalesForecastYear1'!$D$10</f>
        <v>62460.8898944874</v>
      </c>
      <c r="Y19" s="241">
        <f>+Y18*'3a-SalesForecastYear1'!$D$10</f>
        <v>63710.1076923771</v>
      </c>
      <c r="Z19" s="241">
        <f>+Z18*'3a-SalesForecastYear1'!$D$10</f>
        <v>64984.3098462247</v>
      </c>
      <c r="AA19" s="241">
        <f>+AA18*'3a-SalesForecastYear1'!$D$10</f>
        <v>66283.9960431492</v>
      </c>
      <c r="AB19" s="241">
        <f>+AB18*'3a-SalesForecastYear1'!$D$10</f>
        <v>67609.6759640122</v>
      </c>
      <c r="AC19" s="241">
        <f>+AC18*'3a-SalesForecastYear1'!$D$10</f>
        <v>68961.8694832923</v>
      </c>
      <c r="AD19" s="215">
        <f t="shared" si="2"/>
        <v>743881.207038535</v>
      </c>
      <c r="AE19" s="202">
        <f t="shared" si="3"/>
        <v>1</v>
      </c>
      <c r="AF19" s="198">
        <f t="shared" si="11"/>
        <v>0.368604073522106</v>
      </c>
    </row>
    <row r="20" ht="13.5" customHeight="1">
      <c r="A20" s="214" t="s">
        <v>133</v>
      </c>
      <c r="B20" s="243">
        <f>'3a-SalesForecastYear1'!O26</f>
        <v>107820</v>
      </c>
      <c r="C20" s="241">
        <f>+C18*'3a-SalesForecastYear1'!$E$10</f>
        <v>19080</v>
      </c>
      <c r="D20" s="241">
        <f>+D18*'3a-SalesForecastYear1'!$E$10</f>
        <v>19652.4</v>
      </c>
      <c r="E20" s="241">
        <f>+E18*'3a-SalesForecastYear1'!$E$10</f>
        <v>20241.972</v>
      </c>
      <c r="F20" s="241">
        <f>+F18*'3a-SalesForecastYear1'!$E$10</f>
        <v>20849.23116</v>
      </c>
      <c r="G20" s="241">
        <f>+G18*'3a-SalesForecastYear1'!$E$10</f>
        <v>21474.7080948</v>
      </c>
      <c r="H20" s="241">
        <f>+H18*'3a-SalesForecastYear1'!$E$10</f>
        <v>22118.949337644</v>
      </c>
      <c r="I20" s="241">
        <f>+I18*'3a-SalesForecastYear1'!$E$10</f>
        <v>22782.5178177733</v>
      </c>
      <c r="J20" s="241">
        <f>+J18*'3a-SalesForecastYear1'!$E$10</f>
        <v>23465.9933523065</v>
      </c>
      <c r="K20" s="241">
        <f>+K18*'3a-SalesForecastYear1'!$E$10</f>
        <v>24169.9731528757</v>
      </c>
      <c r="L20" s="241">
        <f>+L18*'3a-SalesForecastYear1'!$E$10</f>
        <v>24895.072347462</v>
      </c>
      <c r="M20" s="241">
        <f>+M18*'3a-SalesForecastYear1'!$E$10</f>
        <v>25641.9245178859</v>
      </c>
      <c r="N20" s="241">
        <f>+N18*'3a-SalesForecastYear1'!$E$10</f>
        <v>26411.1822534224</v>
      </c>
      <c r="O20" s="215">
        <f t="shared" si="2"/>
        <v>270783.92403417</v>
      </c>
      <c r="P20" s="202">
        <f t="shared" si="4"/>
        <v>0.476190476190477</v>
      </c>
      <c r="Q20" s="198">
        <f t="shared" si="12"/>
        <v>0.5</v>
      </c>
      <c r="R20" s="241">
        <f>+R18*'3a-SalesForecastYear1'!$E$10</f>
        <v>26411.1822534224</v>
      </c>
      <c r="S20" s="241">
        <f>+S18*'3a-SalesForecastYear1'!$E$10</f>
        <v>26939.4058984909</v>
      </c>
      <c r="T20" s="241">
        <f>+T18*'3a-SalesForecastYear1'!$E$10</f>
        <v>27478.1940164608</v>
      </c>
      <c r="U20" s="241">
        <f>+U18*'3a-SalesForecastYear1'!$E$10</f>
        <v>28027.75789679</v>
      </c>
      <c r="V20" s="241">
        <f>+V18*'3a-SalesForecastYear1'!$E$10</f>
        <v>28588.3130547259</v>
      </c>
      <c r="W20" s="241">
        <f>+W18*'3a-SalesForecastYear1'!$E$10</f>
        <v>29160.0793158205</v>
      </c>
      <c r="X20" s="241">
        <f>+X18*'3a-SalesForecastYear1'!$E$10</f>
        <v>29743.2809021369</v>
      </c>
      <c r="Y20" s="241">
        <f>+Y18*'3a-SalesForecastYear1'!$E$10</f>
        <v>30338.1465201796</v>
      </c>
      <c r="Z20" s="241">
        <f>+Z18*'3a-SalesForecastYear1'!$E$10</f>
        <v>30944.9094505832</v>
      </c>
      <c r="AA20" s="241">
        <f>+AA18*'3a-SalesForecastYear1'!$E$10</f>
        <v>31563.8076395948</v>
      </c>
      <c r="AB20" s="241">
        <f>+AB18*'3a-SalesForecastYear1'!$E$10</f>
        <v>32195.0837923868</v>
      </c>
      <c r="AC20" s="241">
        <f>+AC18*'3a-SalesForecastYear1'!$E$10</f>
        <v>32838.9854682344</v>
      </c>
      <c r="AD20" s="215">
        <f t="shared" si="2"/>
        <v>354229.146208826</v>
      </c>
      <c r="AE20" s="202">
        <f t="shared" si="4"/>
        <v>0.476190476190476</v>
      </c>
      <c r="AF20" s="198">
        <f t="shared" si="13"/>
        <v>0.5</v>
      </c>
    </row>
    <row r="21" ht="13.5" customHeight="1">
      <c r="A21" s="203" t="s">
        <v>135</v>
      </c>
      <c r="B21" s="244">
        <f>'3a-SalesForecastYear1'!O27</f>
        <v>118602</v>
      </c>
      <c r="C21" s="241">
        <f t="shared" si="5"/>
        <v>20988</v>
      </c>
      <c r="D21" s="241">
        <f t="shared" si="5"/>
        <v>21617.64</v>
      </c>
      <c r="E21" s="241">
        <f t="shared" si="5"/>
        <v>22266.1692</v>
      </c>
      <c r="F21" s="241">
        <f t="shared" si="5"/>
        <v>22934.154276</v>
      </c>
      <c r="G21" s="241">
        <f t="shared" si="5"/>
        <v>23622.17890428</v>
      </c>
      <c r="H21" s="241">
        <f t="shared" si="5"/>
        <v>24330.8442714084</v>
      </c>
      <c r="I21" s="241">
        <f t="shared" si="5"/>
        <v>25060.7695995507</v>
      </c>
      <c r="J21" s="241">
        <f t="shared" si="5"/>
        <v>25812.5926875371</v>
      </c>
      <c r="K21" s="241">
        <f t="shared" si="5"/>
        <v>26586.9704681632</v>
      </c>
      <c r="L21" s="241">
        <f t="shared" si="5"/>
        <v>27384.5795822082</v>
      </c>
      <c r="M21" s="241">
        <f t="shared" si="5"/>
        <v>28206.1169696744</v>
      </c>
      <c r="N21" s="241">
        <f t="shared" si="5"/>
        <v>29052.3004787646</v>
      </c>
      <c r="O21" s="215">
        <f t="shared" si="2"/>
        <v>297862.316437587</v>
      </c>
      <c r="P21" s="202">
        <f t="shared" si="6"/>
        <v>0.523809523809525</v>
      </c>
      <c r="Q21" s="198">
        <f t="shared" si="14"/>
        <v>0.29752487879561</v>
      </c>
      <c r="R21" s="241">
        <f t="shared" si="5"/>
        <v>29052.3004787646</v>
      </c>
      <c r="S21" s="241">
        <f t="shared" si="5"/>
        <v>29633.3464883399</v>
      </c>
      <c r="T21" s="241">
        <f t="shared" si="5"/>
        <v>30226.0134181068</v>
      </c>
      <c r="U21" s="241">
        <f t="shared" si="5"/>
        <v>30830.5336864691</v>
      </c>
      <c r="V21" s="241">
        <f t="shared" si="5"/>
        <v>31447.1443601985</v>
      </c>
      <c r="W21" s="241">
        <f t="shared" si="5"/>
        <v>32076.0872474025</v>
      </c>
      <c r="X21" s="241">
        <f t="shared" si="5"/>
        <v>32717.6089923505</v>
      </c>
      <c r="Y21" s="241">
        <f t="shared" si="5"/>
        <v>33371.9611721975</v>
      </c>
      <c r="Z21" s="241">
        <f t="shared" si="5"/>
        <v>34039.4003956415</v>
      </c>
      <c r="AA21" s="241">
        <f t="shared" si="5"/>
        <v>34720.1884035544</v>
      </c>
      <c r="AB21" s="241">
        <f t="shared" si="5"/>
        <v>35414.5921716254</v>
      </c>
      <c r="AC21" s="241">
        <f t="shared" si="5"/>
        <v>36122.8840150579</v>
      </c>
      <c r="AD21" s="215">
        <f t="shared" si="2"/>
        <v>389652.060829709</v>
      </c>
      <c r="AE21" s="202">
        <f t="shared" si="6"/>
        <v>0.523809523809524</v>
      </c>
      <c r="AF21" s="198">
        <f t="shared" si="15"/>
        <v>0.297524878795611</v>
      </c>
    </row>
    <row r="22" ht="12" customHeight="1">
      <c r="A22" s="205"/>
      <c r="B22" s="242"/>
      <c r="C22" s="207"/>
      <c r="D22" s="207"/>
      <c r="E22" s="207"/>
      <c r="F22" s="207"/>
      <c r="G22" s="207"/>
      <c r="H22" s="207"/>
      <c r="I22" s="207"/>
      <c r="J22" s="207"/>
      <c r="K22" s="207"/>
      <c r="L22" s="207"/>
      <c r="M22" s="207"/>
      <c r="N22" s="207"/>
      <c r="O22" s="208"/>
      <c r="P22" s="105"/>
      <c r="Q22" s="209"/>
      <c r="R22" s="207"/>
      <c r="S22" s="207"/>
      <c r="T22" s="207"/>
      <c r="U22" s="207"/>
      <c r="V22" s="207"/>
      <c r="W22" s="207"/>
      <c r="X22" s="207"/>
      <c r="Y22" s="207"/>
      <c r="Z22" s="207"/>
      <c r="AA22" s="207"/>
      <c r="AB22" s="207"/>
      <c r="AC22" s="207"/>
      <c r="AD22" s="208"/>
      <c r="AE22" s="105"/>
      <c r="AF22" s="209"/>
    </row>
    <row r="23" ht="13.5" customHeight="1">
      <c r="A23" s="192" t="str">
        <f>'3a-SalesForecastYear1'!B29</f>
        <v>Deferred Revenue - 1 Month (20%)</v>
      </c>
      <c r="B23" s="192"/>
      <c r="C23" s="216"/>
      <c r="D23" s="216"/>
      <c r="E23" s="216"/>
      <c r="F23" s="216"/>
      <c r="G23" s="216"/>
      <c r="H23" s="216"/>
      <c r="I23" s="216"/>
      <c r="J23" s="216"/>
      <c r="K23" s="216"/>
      <c r="L23" s="216"/>
      <c r="M23" s="216"/>
      <c r="N23" s="216"/>
      <c r="O23" s="194"/>
      <c r="P23" s="105"/>
      <c r="Q23" s="209"/>
      <c r="R23" s="216"/>
      <c r="S23" s="216"/>
      <c r="T23" s="216"/>
      <c r="U23" s="216"/>
      <c r="V23" s="216"/>
      <c r="W23" s="216"/>
      <c r="X23" s="216"/>
      <c r="Y23" s="216"/>
      <c r="Z23" s="216"/>
      <c r="AA23" s="216"/>
      <c r="AB23" s="216"/>
      <c r="AC23" s="216"/>
      <c r="AD23" s="194"/>
      <c r="AE23" s="105"/>
      <c r="AF23" s="209"/>
    </row>
    <row r="24" ht="13.5" customHeight="1">
      <c r="A24" s="195" t="str">
        <f>Unit3&amp;" Sold"</f>
        <v>1 Sold</v>
      </c>
      <c r="B24" s="195">
        <f>Unit3_Annual</f>
        <v>493</v>
      </c>
      <c r="C24" s="239">
        <f>'3a-SalesForecastYear1'!N30</f>
        <v>88</v>
      </c>
      <c r="D24" s="239">
        <f t="shared" si="0"/>
        <v>90.64</v>
      </c>
      <c r="E24" s="239">
        <f t="shared" si="0"/>
        <v>93.3592</v>
      </c>
      <c r="F24" s="239">
        <f t="shared" si="0"/>
        <v>96.159976</v>
      </c>
      <c r="G24" s="239">
        <f t="shared" si="0"/>
        <v>99.04477528</v>
      </c>
      <c r="H24" s="239">
        <f t="shared" si="0"/>
        <v>102.0161185384</v>
      </c>
      <c r="I24" s="239">
        <f t="shared" si="0"/>
        <v>105.076602094552</v>
      </c>
      <c r="J24" s="239">
        <f t="shared" si="0"/>
        <v>108.228900157389</v>
      </c>
      <c r="K24" s="239">
        <f t="shared" si="0"/>
        <v>111.475767162111</v>
      </c>
      <c r="L24" s="239">
        <f t="shared" si="0"/>
        <v>114.820040176974</v>
      </c>
      <c r="M24" s="239">
        <f t="shared" si="0"/>
        <v>118.264641382283</v>
      </c>
      <c r="N24" s="239">
        <f t="shared" si="0"/>
        <v>121.812580623751</v>
      </c>
      <c r="O24" s="213">
        <f t="shared" si="2"/>
        <v>1248.89860141546</v>
      </c>
      <c r="P24" s="105"/>
      <c r="Q24" s="198">
        <f t="shared" si="7"/>
        <v>0.262686567164179</v>
      </c>
      <c r="R24" s="239">
        <f t="shared" si="8"/>
        <v>121.812580623751</v>
      </c>
      <c r="S24" s="239">
        <f t="shared" si="1"/>
        <v>124.248832236226</v>
      </c>
      <c r="T24" s="239">
        <f t="shared" si="1"/>
        <v>126.733808880951</v>
      </c>
      <c r="U24" s="239">
        <f t="shared" si="1"/>
        <v>129.26848505857</v>
      </c>
      <c r="V24" s="239">
        <f t="shared" si="1"/>
        <v>131.853854759741</v>
      </c>
      <c r="W24" s="239">
        <f t="shared" si="1"/>
        <v>134.490931854936</v>
      </c>
      <c r="X24" s="239">
        <f t="shared" si="1"/>
        <v>137.180750492035</v>
      </c>
      <c r="Y24" s="239">
        <f t="shared" si="1"/>
        <v>139.924365501876</v>
      </c>
      <c r="Z24" s="239">
        <f t="shared" si="1"/>
        <v>142.722852811914</v>
      </c>
      <c r="AA24" s="239">
        <f t="shared" si="1"/>
        <v>145.577309868152</v>
      </c>
      <c r="AB24" s="239">
        <f t="shared" si="1"/>
        <v>148.488856065515</v>
      </c>
      <c r="AC24" s="239">
        <f t="shared" si="1"/>
        <v>151.458633186825</v>
      </c>
      <c r="AD24" s="213">
        <f t="shared" si="2"/>
        <v>1633.76126134049</v>
      </c>
      <c r="AE24" s="105"/>
      <c r="AF24" s="198">
        <f t="shared" si="9"/>
        <v>0.262686567164178</v>
      </c>
    </row>
    <row r="25" ht="13.5" customHeight="1">
      <c r="A25" s="214" t="s">
        <v>132</v>
      </c>
      <c r="B25" s="245">
        <f>Category3_Annual_Sales</f>
        <v>53244</v>
      </c>
      <c r="C25" s="241">
        <f>+C24*'3a-SalesForecastYear1'!$D$11</f>
        <v>9504</v>
      </c>
      <c r="D25" s="241">
        <f>+D24*'3a-SalesForecastYear1'!$D$11</f>
        <v>9789.12</v>
      </c>
      <c r="E25" s="241">
        <f>+E24*'3a-SalesForecastYear1'!$D$11</f>
        <v>10082.7936</v>
      </c>
      <c r="F25" s="241">
        <f>+F24*'3a-SalesForecastYear1'!$D$11</f>
        <v>10385.277408</v>
      </c>
      <c r="G25" s="241">
        <f>+G24*'3a-SalesForecastYear1'!$D$11</f>
        <v>10696.83573024</v>
      </c>
      <c r="H25" s="241">
        <f>+H24*'3a-SalesForecastYear1'!$D$11</f>
        <v>11017.7408021472</v>
      </c>
      <c r="I25" s="241">
        <f>+I24*'3a-SalesForecastYear1'!$D$11</f>
        <v>11348.2730262116</v>
      </c>
      <c r="J25" s="241">
        <f>+J24*'3a-SalesForecastYear1'!$D$11</f>
        <v>11688.721216998</v>
      </c>
      <c r="K25" s="241">
        <f>+K24*'3a-SalesForecastYear1'!$D$11</f>
        <v>12039.382853508</v>
      </c>
      <c r="L25" s="241">
        <f>+L24*'3a-SalesForecastYear1'!$D$11</f>
        <v>12400.5643391132</v>
      </c>
      <c r="M25" s="241">
        <f>+M24*'3a-SalesForecastYear1'!$D$11</f>
        <v>12772.5812692866</v>
      </c>
      <c r="N25" s="241">
        <f>+N24*'3a-SalesForecastYear1'!$D$11</f>
        <v>13155.7587073651</v>
      </c>
      <c r="O25" s="215">
        <f t="shared" si="2"/>
        <v>134881.04895287</v>
      </c>
      <c r="P25" s="202">
        <f t="shared" si="3"/>
        <v>1</v>
      </c>
      <c r="Q25" s="198">
        <f t="shared" si="10"/>
        <v>0.0874316939890711</v>
      </c>
      <c r="R25" s="241">
        <f>+R24*'3a-SalesForecastYear1'!$D$11</f>
        <v>13155.7587073651</v>
      </c>
      <c r="S25" s="241">
        <f>+S24*'3a-SalesForecastYear1'!$D$11</f>
        <v>13418.8738815124</v>
      </c>
      <c r="T25" s="241">
        <f>+T24*'3a-SalesForecastYear1'!$D$11</f>
        <v>13687.2513591427</v>
      </c>
      <c r="U25" s="241">
        <f>+U24*'3a-SalesForecastYear1'!$D$11</f>
        <v>13960.9963863256</v>
      </c>
      <c r="V25" s="241">
        <f>+V24*'3a-SalesForecastYear1'!$D$11</f>
        <v>14240.216314052</v>
      </c>
      <c r="W25" s="241">
        <f>+W24*'3a-SalesForecastYear1'!$D$11</f>
        <v>14525.0206403331</v>
      </c>
      <c r="X25" s="241">
        <f>+X24*'3a-SalesForecastYear1'!$D$11</f>
        <v>14815.5210531398</v>
      </c>
      <c r="Y25" s="241">
        <f>+Y24*'3a-SalesForecastYear1'!$D$11</f>
        <v>15111.8314742026</v>
      </c>
      <c r="Z25" s="241">
        <f>+Z24*'3a-SalesForecastYear1'!$D$11</f>
        <v>15414.0681036867</v>
      </c>
      <c r="AA25" s="241">
        <f>+AA24*'3a-SalesForecastYear1'!$D$11</f>
        <v>15722.3494657604</v>
      </c>
      <c r="AB25" s="241">
        <f>+AB24*'3a-SalesForecastYear1'!$D$11</f>
        <v>16036.7964550756</v>
      </c>
      <c r="AC25" s="241">
        <f>+AC24*'3a-SalesForecastYear1'!$D$11</f>
        <v>16357.5323841771</v>
      </c>
      <c r="AD25" s="215">
        <f t="shared" si="2"/>
        <v>176446.216224773</v>
      </c>
      <c r="AE25" s="202">
        <f t="shared" si="3"/>
        <v>1</v>
      </c>
      <c r="AF25" s="198">
        <f t="shared" si="11"/>
        <v>0.0874316939890707</v>
      </c>
    </row>
    <row r="26" ht="12" customHeight="1">
      <c r="A26" s="214" t="s">
        <v>133</v>
      </c>
      <c r="B26" s="245">
        <f>'3a-SalesForecastYear1'!O32</f>
        <v>0</v>
      </c>
      <c r="C26" s="241">
        <f>+C24*'3a-SalesForecastYear1'!$E$11</f>
        <v>0</v>
      </c>
      <c r="D26" s="241">
        <f>+D24*'3a-SalesForecastYear1'!$E$11</f>
        <v>0</v>
      </c>
      <c r="E26" s="241">
        <f>+E24*'3a-SalesForecastYear1'!$E$11</f>
        <v>0</v>
      </c>
      <c r="F26" s="241">
        <f>+F24*'3a-SalesForecastYear1'!$E$11</f>
        <v>0</v>
      </c>
      <c r="G26" s="241">
        <f>+G24*'3a-SalesForecastYear1'!$E$11</f>
        <v>0</v>
      </c>
      <c r="H26" s="241">
        <f>+H24*'3a-SalesForecastYear1'!$E$11</f>
        <v>0</v>
      </c>
      <c r="I26" s="241">
        <f>+I24*'3a-SalesForecastYear1'!$E$11</f>
        <v>0</v>
      </c>
      <c r="J26" s="241">
        <f>+J24*'3a-SalesForecastYear1'!$E$11</f>
        <v>0</v>
      </c>
      <c r="K26" s="241">
        <f>+K24*'3a-SalesForecastYear1'!$E$11</f>
        <v>0</v>
      </c>
      <c r="L26" s="241">
        <f>+L24*'3a-SalesForecastYear1'!$E$11</f>
        <v>0</v>
      </c>
      <c r="M26" s="241">
        <f>+M24*'3a-SalesForecastYear1'!$E$11</f>
        <v>0</v>
      </c>
      <c r="N26" s="241">
        <f>+N24*'3a-SalesForecastYear1'!$E$11</f>
        <v>0</v>
      </c>
      <c r="O26" s="215">
        <f t="shared" si="2"/>
        <v>0</v>
      </c>
      <c r="P26" s="202">
        <f t="shared" si="4"/>
        <v>0</v>
      </c>
      <c r="Q26" s="198">
        <f t="shared" si="12"/>
        <v>0</v>
      </c>
      <c r="R26" s="241">
        <f>+R24*'3a-SalesForecastYear1'!$E$11</f>
        <v>0</v>
      </c>
      <c r="S26" s="241">
        <f>+S24*'3a-SalesForecastYear1'!$E$11</f>
        <v>0</v>
      </c>
      <c r="T26" s="241">
        <f>+T24*'3a-SalesForecastYear1'!$E$11</f>
        <v>0</v>
      </c>
      <c r="U26" s="241">
        <f>+U24*'3a-SalesForecastYear1'!$E$11</f>
        <v>0</v>
      </c>
      <c r="V26" s="241">
        <f>+V24*'3a-SalesForecastYear1'!$E$11</f>
        <v>0</v>
      </c>
      <c r="W26" s="241">
        <f>+W24*'3a-SalesForecastYear1'!$E$11</f>
        <v>0</v>
      </c>
      <c r="X26" s="241">
        <f>+X24*'3a-SalesForecastYear1'!$E$11</f>
        <v>0</v>
      </c>
      <c r="Y26" s="241">
        <f>+Y24*'3a-SalesForecastYear1'!$E$11</f>
        <v>0</v>
      </c>
      <c r="Z26" s="241">
        <f>+Z24*'3a-SalesForecastYear1'!$E$11</f>
        <v>0</v>
      </c>
      <c r="AA26" s="241">
        <f>+AA24*'3a-SalesForecastYear1'!$E$11</f>
        <v>0</v>
      </c>
      <c r="AB26" s="241">
        <f>+AB24*'3a-SalesForecastYear1'!$E$11</f>
        <v>0</v>
      </c>
      <c r="AC26" s="241">
        <f>+AC24*'3a-SalesForecastYear1'!$E$11</f>
        <v>0</v>
      </c>
      <c r="AD26" s="215">
        <f t="shared" si="2"/>
        <v>0</v>
      </c>
      <c r="AE26" s="202">
        <f t="shared" si="4"/>
        <v>0</v>
      </c>
      <c r="AF26" s="198">
        <f t="shared" si="13"/>
        <v>0</v>
      </c>
    </row>
    <row r="27" ht="13.5" customHeight="1">
      <c r="A27" s="203" t="s">
        <v>135</v>
      </c>
      <c r="B27" s="244">
        <f>'3a-SalesForecastYear1'!O33</f>
        <v>53244</v>
      </c>
      <c r="C27" s="241">
        <f t="shared" si="5"/>
        <v>9504</v>
      </c>
      <c r="D27" s="241">
        <f t="shared" si="5"/>
        <v>9789.12</v>
      </c>
      <c r="E27" s="241">
        <f t="shared" si="5"/>
        <v>10082.7936</v>
      </c>
      <c r="F27" s="241">
        <f t="shared" si="5"/>
        <v>10385.277408</v>
      </c>
      <c r="G27" s="241">
        <f t="shared" si="5"/>
        <v>10696.83573024</v>
      </c>
      <c r="H27" s="241">
        <f t="shared" si="5"/>
        <v>11017.7408021472</v>
      </c>
      <c r="I27" s="241">
        <f t="shared" si="5"/>
        <v>11348.2730262116</v>
      </c>
      <c r="J27" s="241">
        <f t="shared" si="5"/>
        <v>11688.721216998</v>
      </c>
      <c r="K27" s="241">
        <f t="shared" si="5"/>
        <v>12039.382853508</v>
      </c>
      <c r="L27" s="241">
        <f t="shared" si="5"/>
        <v>12400.5643391132</v>
      </c>
      <c r="M27" s="241">
        <f t="shared" si="5"/>
        <v>12772.5812692866</v>
      </c>
      <c r="N27" s="241">
        <f t="shared" si="5"/>
        <v>13155.7587073651</v>
      </c>
      <c r="O27" s="215">
        <f t="shared" si="2"/>
        <v>134881.04895287</v>
      </c>
      <c r="P27" s="202">
        <f t="shared" si="6"/>
        <v>1</v>
      </c>
      <c r="Q27" s="198">
        <f t="shared" si="14"/>
        <v>0.134728247001786</v>
      </c>
      <c r="R27" s="241">
        <f t="shared" si="5"/>
        <v>13155.7587073651</v>
      </c>
      <c r="S27" s="241">
        <f t="shared" si="5"/>
        <v>13418.8738815124</v>
      </c>
      <c r="T27" s="241">
        <f t="shared" si="5"/>
        <v>13687.2513591427</v>
      </c>
      <c r="U27" s="241">
        <f t="shared" si="5"/>
        <v>13960.9963863256</v>
      </c>
      <c r="V27" s="241">
        <f t="shared" si="5"/>
        <v>14240.216314052</v>
      </c>
      <c r="W27" s="241">
        <f t="shared" si="5"/>
        <v>14525.0206403331</v>
      </c>
      <c r="X27" s="241">
        <f t="shared" si="5"/>
        <v>14815.5210531398</v>
      </c>
      <c r="Y27" s="241">
        <f t="shared" si="5"/>
        <v>15111.8314742026</v>
      </c>
      <c r="Z27" s="241">
        <f t="shared" si="5"/>
        <v>15414.0681036867</v>
      </c>
      <c r="AA27" s="241">
        <f t="shared" si="5"/>
        <v>15722.3494657604</v>
      </c>
      <c r="AB27" s="241">
        <f t="shared" si="5"/>
        <v>16036.7964550756</v>
      </c>
      <c r="AC27" s="241">
        <f t="shared" si="5"/>
        <v>16357.5323841771</v>
      </c>
      <c r="AD27" s="215">
        <f t="shared" si="2"/>
        <v>176446.216224773</v>
      </c>
      <c r="AE27" s="202">
        <f t="shared" si="6"/>
        <v>1</v>
      </c>
      <c r="AF27" s="198">
        <f t="shared" si="15"/>
        <v>0.134728247001785</v>
      </c>
    </row>
    <row r="28" ht="12" customHeight="1">
      <c r="A28" s="218"/>
      <c r="B28" s="246"/>
      <c r="C28" s="207"/>
      <c r="D28" s="207"/>
      <c r="E28" s="207"/>
      <c r="F28" s="207"/>
      <c r="G28" s="207"/>
      <c r="H28" s="207"/>
      <c r="I28" s="207"/>
      <c r="J28" s="207"/>
      <c r="K28" s="207"/>
      <c r="L28" s="207"/>
      <c r="M28" s="207"/>
      <c r="N28" s="207"/>
      <c r="O28" s="208"/>
      <c r="P28" s="105"/>
      <c r="Q28" s="209"/>
      <c r="R28" s="207"/>
      <c r="S28" s="207"/>
      <c r="T28" s="207"/>
      <c r="U28" s="207"/>
      <c r="V28" s="207"/>
      <c r="W28" s="207"/>
      <c r="X28" s="207"/>
      <c r="Y28" s="207"/>
      <c r="Z28" s="207"/>
      <c r="AA28" s="207"/>
      <c r="AB28" s="207"/>
      <c r="AC28" s="207"/>
      <c r="AD28" s="208"/>
      <c r="AE28" s="105"/>
      <c r="AF28" s="209"/>
    </row>
    <row r="29" ht="13.5" customHeight="1">
      <c r="A29" s="192" t="str">
        <f>'3a-SalesForecastYear1'!B35</f>
        <v>Deferred Revenue - 6 Months (10%)</v>
      </c>
      <c r="B29" s="192"/>
      <c r="C29" s="211"/>
      <c r="D29" s="211"/>
      <c r="E29" s="211"/>
      <c r="F29" s="211"/>
      <c r="G29" s="211"/>
      <c r="H29" s="211"/>
      <c r="I29" s="211"/>
      <c r="J29" s="211"/>
      <c r="K29" s="211"/>
      <c r="L29" s="211"/>
      <c r="M29" s="211"/>
      <c r="N29" s="211"/>
      <c r="O29" s="194"/>
      <c r="P29" s="105"/>
      <c r="Q29" s="209"/>
      <c r="R29" s="211"/>
      <c r="S29" s="211"/>
      <c r="T29" s="211"/>
      <c r="U29" s="211"/>
      <c r="V29" s="211"/>
      <c r="W29" s="211"/>
      <c r="X29" s="211"/>
      <c r="Y29" s="211"/>
      <c r="Z29" s="211"/>
      <c r="AA29" s="211"/>
      <c r="AB29" s="211"/>
      <c r="AC29" s="211"/>
      <c r="AD29" s="194"/>
      <c r="AE29" s="105"/>
      <c r="AF29" s="209"/>
    </row>
    <row r="30" ht="13.5" customHeight="1">
      <c r="A30" s="195" t="str">
        <f>Unit4&amp;" Sold"</f>
        <v>1 Sold</v>
      </c>
      <c r="B30" s="195">
        <f>Unit4_Annual</f>
        <v>159</v>
      </c>
      <c r="C30" s="247">
        <f>'3a-SalesForecastYear1'!N36</f>
        <v>35</v>
      </c>
      <c r="D30" s="239">
        <f t="shared" si="0"/>
        <v>36.05</v>
      </c>
      <c r="E30" s="239">
        <f t="shared" si="0"/>
        <v>37.1315</v>
      </c>
      <c r="F30" s="239">
        <f t="shared" si="0"/>
        <v>38.245445</v>
      </c>
      <c r="G30" s="239">
        <f t="shared" si="0"/>
        <v>39.39280835</v>
      </c>
      <c r="H30" s="239">
        <f t="shared" si="0"/>
        <v>40.5745926005</v>
      </c>
      <c r="I30" s="239">
        <f t="shared" si="0"/>
        <v>41.791830378515</v>
      </c>
      <c r="J30" s="239">
        <f t="shared" si="0"/>
        <v>43.0455852898705</v>
      </c>
      <c r="K30" s="239">
        <f t="shared" si="0"/>
        <v>44.3369528485666</v>
      </c>
      <c r="L30" s="239">
        <f t="shared" si="0"/>
        <v>45.6670614340236</v>
      </c>
      <c r="M30" s="239">
        <f t="shared" si="0"/>
        <v>47.0370732770443</v>
      </c>
      <c r="N30" s="239">
        <f t="shared" si="0"/>
        <v>48.4481854753556</v>
      </c>
      <c r="O30" s="213">
        <f t="shared" si="2"/>
        <v>496.721034653876</v>
      </c>
      <c r="P30" s="105"/>
      <c r="Q30" s="198">
        <f t="shared" si="7"/>
        <v>0.104477611940299</v>
      </c>
      <c r="R30" s="239">
        <f t="shared" si="8"/>
        <v>48.4481854753556</v>
      </c>
      <c r="S30" s="239">
        <f t="shared" si="1"/>
        <v>49.4171491848627</v>
      </c>
      <c r="T30" s="239">
        <f t="shared" si="1"/>
        <v>50.40549216856</v>
      </c>
      <c r="U30" s="239">
        <f t="shared" si="1"/>
        <v>51.4136020119312</v>
      </c>
      <c r="V30" s="239">
        <f t="shared" si="1"/>
        <v>52.4418740521698</v>
      </c>
      <c r="W30" s="239">
        <f t="shared" si="1"/>
        <v>53.4907115332132</v>
      </c>
      <c r="X30" s="239">
        <f t="shared" si="1"/>
        <v>54.5605257638775</v>
      </c>
      <c r="Y30" s="239">
        <f t="shared" si="1"/>
        <v>55.6517362791551</v>
      </c>
      <c r="Z30" s="239">
        <f t="shared" si="1"/>
        <v>56.7647710047382</v>
      </c>
      <c r="AA30" s="239">
        <f t="shared" si="1"/>
        <v>57.900066424833</v>
      </c>
      <c r="AB30" s="239">
        <f t="shared" si="1"/>
        <v>59.0580677533297</v>
      </c>
      <c r="AC30" s="239">
        <f t="shared" si="1"/>
        <v>60.2392291083963</v>
      </c>
      <c r="AD30" s="213">
        <f t="shared" si="2"/>
        <v>649.791410760422</v>
      </c>
      <c r="AE30" s="105"/>
      <c r="AF30" s="198">
        <f t="shared" si="9"/>
        <v>0.104477611940298</v>
      </c>
    </row>
    <row r="31" ht="13.5" customHeight="1">
      <c r="A31" s="214" t="s">
        <v>132</v>
      </c>
      <c r="B31" s="214">
        <f>Category4_Annual_Sales</f>
        <v>8586</v>
      </c>
      <c r="C31" s="241">
        <f>+C30*'3a-SalesForecastYear1'!$D$12</f>
        <v>1890</v>
      </c>
      <c r="D31" s="241">
        <f>+D30*'3a-SalesForecastYear1'!$D$12</f>
        <v>1946.7</v>
      </c>
      <c r="E31" s="241">
        <f>+E30*'3a-SalesForecastYear1'!$D$12</f>
        <v>2005.101</v>
      </c>
      <c r="F31" s="241">
        <f>+F30*'3a-SalesForecastYear1'!$D$12</f>
        <v>2065.25403</v>
      </c>
      <c r="G31" s="241">
        <f>+G30*'3a-SalesForecastYear1'!$D$12</f>
        <v>2127.2116509</v>
      </c>
      <c r="H31" s="241">
        <f>+H30*'3a-SalesForecastYear1'!$D$12</f>
        <v>2191.028000427</v>
      </c>
      <c r="I31" s="241">
        <f>+I30*'3a-SalesForecastYear1'!$D$12</f>
        <v>2256.75884043981</v>
      </c>
      <c r="J31" s="241">
        <f>+J30*'3a-SalesForecastYear1'!$D$12</f>
        <v>2324.46160565301</v>
      </c>
      <c r="K31" s="241">
        <f>+K30*'3a-SalesForecastYear1'!$D$12</f>
        <v>2394.1954538226</v>
      </c>
      <c r="L31" s="241">
        <f>+L30*'3a-SalesForecastYear1'!$D$12</f>
        <v>2466.02131743727</v>
      </c>
      <c r="M31" s="241">
        <f>+M30*'3a-SalesForecastYear1'!$D$12</f>
        <v>2540.00195696039</v>
      </c>
      <c r="N31" s="241">
        <f>+N30*'3a-SalesForecastYear1'!$D$12</f>
        <v>2616.2020156692</v>
      </c>
      <c r="O31" s="201">
        <f t="shared" si="2"/>
        <v>26822.9358713093</v>
      </c>
      <c r="P31" s="202">
        <f t="shared" si="3"/>
        <v>1</v>
      </c>
      <c r="Q31" s="198">
        <f t="shared" si="10"/>
        <v>0.0173869846000993</v>
      </c>
      <c r="R31" s="241">
        <f>+R30*'3a-SalesForecastYear1'!$D$12</f>
        <v>2616.2020156692</v>
      </c>
      <c r="S31" s="241">
        <f>+S30*'3a-SalesForecastYear1'!$D$12</f>
        <v>2668.52605598259</v>
      </c>
      <c r="T31" s="241">
        <f>+T30*'3a-SalesForecastYear1'!$D$12</f>
        <v>2721.89657710224</v>
      </c>
      <c r="U31" s="241">
        <f>+U30*'3a-SalesForecastYear1'!$D$12</f>
        <v>2776.33450864428</v>
      </c>
      <c r="V31" s="241">
        <f>+V30*'3a-SalesForecastYear1'!$D$12</f>
        <v>2831.86119881717</v>
      </c>
      <c r="W31" s="241">
        <f>+W30*'3a-SalesForecastYear1'!$D$12</f>
        <v>2888.49842279351</v>
      </c>
      <c r="X31" s="241">
        <f>+X30*'3a-SalesForecastYear1'!$D$12</f>
        <v>2946.26839124938</v>
      </c>
      <c r="Y31" s="241">
        <f>+Y30*'3a-SalesForecastYear1'!$D$12</f>
        <v>3005.19375907438</v>
      </c>
      <c r="Z31" s="241">
        <f>+Z30*'3a-SalesForecastYear1'!$D$12</f>
        <v>3065.29763425586</v>
      </c>
      <c r="AA31" s="241">
        <f>+AA30*'3a-SalesForecastYear1'!$D$12</f>
        <v>3126.60358694098</v>
      </c>
      <c r="AB31" s="241">
        <f>+AB30*'3a-SalesForecastYear1'!$D$12</f>
        <v>3189.1356586798</v>
      </c>
      <c r="AC31" s="241">
        <f>+AC30*'3a-SalesForecastYear1'!$D$12</f>
        <v>3252.9183718534</v>
      </c>
      <c r="AD31" s="201">
        <f t="shared" si="2"/>
        <v>35088.7361810628</v>
      </c>
      <c r="AE31" s="202">
        <f t="shared" si="3"/>
        <v>1</v>
      </c>
      <c r="AF31" s="198">
        <f t="shared" si="11"/>
        <v>0.0173869846000993</v>
      </c>
    </row>
    <row r="32" ht="12" customHeight="1">
      <c r="A32" s="214" t="s">
        <v>133</v>
      </c>
      <c r="B32" s="245">
        <f>'3a-SalesForecastYear1'!O38</f>
        <v>0</v>
      </c>
      <c r="C32" s="241">
        <f>+C30*'3a-SalesForecastYear1'!$E$12</f>
        <v>0</v>
      </c>
      <c r="D32" s="241">
        <f>+D30*'3a-SalesForecastYear1'!$E$12</f>
        <v>0</v>
      </c>
      <c r="E32" s="241">
        <f>+E30*'3a-SalesForecastYear1'!$E$12</f>
        <v>0</v>
      </c>
      <c r="F32" s="241">
        <f>+F30*'3a-SalesForecastYear1'!$E$12</f>
        <v>0</v>
      </c>
      <c r="G32" s="241">
        <f>+G30*'3a-SalesForecastYear1'!$E$12</f>
        <v>0</v>
      </c>
      <c r="H32" s="241">
        <f>+H30*'3a-SalesForecastYear1'!$E$12</f>
        <v>0</v>
      </c>
      <c r="I32" s="241">
        <f>+I30*'3a-SalesForecastYear1'!$E$12</f>
        <v>0</v>
      </c>
      <c r="J32" s="241">
        <f>+J30*'3a-SalesForecastYear1'!$E$12</f>
        <v>0</v>
      </c>
      <c r="K32" s="241">
        <f>+K30*'3a-SalesForecastYear1'!$E$12</f>
        <v>0</v>
      </c>
      <c r="L32" s="241">
        <f>+L30*'3a-SalesForecastYear1'!$E$12</f>
        <v>0</v>
      </c>
      <c r="M32" s="241">
        <f>+M30*'3a-SalesForecastYear1'!$E$12</f>
        <v>0</v>
      </c>
      <c r="N32" s="241">
        <f>+N30*'3a-SalesForecastYear1'!$E$12</f>
        <v>0</v>
      </c>
      <c r="O32" s="201">
        <f t="shared" si="2"/>
        <v>0</v>
      </c>
      <c r="P32" s="202">
        <f t="shared" si="4"/>
        <v>0</v>
      </c>
      <c r="Q32" s="198">
        <f t="shared" si="12"/>
        <v>0</v>
      </c>
      <c r="R32" s="241">
        <f>+R30*'3a-SalesForecastYear1'!$E$12</f>
        <v>0</v>
      </c>
      <c r="S32" s="241">
        <f>+S30*'3a-SalesForecastYear1'!$E$12</f>
        <v>0</v>
      </c>
      <c r="T32" s="241">
        <f>+T30*'3a-SalesForecastYear1'!$E$12</f>
        <v>0</v>
      </c>
      <c r="U32" s="241">
        <f>+U30*'3a-SalesForecastYear1'!$E$12</f>
        <v>0</v>
      </c>
      <c r="V32" s="241">
        <f>+V30*'3a-SalesForecastYear1'!$E$12</f>
        <v>0</v>
      </c>
      <c r="W32" s="241">
        <f>+W30*'3a-SalesForecastYear1'!$E$12</f>
        <v>0</v>
      </c>
      <c r="X32" s="241">
        <f>+X30*'3a-SalesForecastYear1'!$E$12</f>
        <v>0</v>
      </c>
      <c r="Y32" s="241">
        <f>+Y30*'3a-SalesForecastYear1'!$E$12</f>
        <v>0</v>
      </c>
      <c r="Z32" s="241">
        <f>+Z30*'3a-SalesForecastYear1'!$E$12</f>
        <v>0</v>
      </c>
      <c r="AA32" s="241">
        <f>+AA30*'3a-SalesForecastYear1'!$E$12</f>
        <v>0</v>
      </c>
      <c r="AB32" s="241">
        <f>+AB30*'3a-SalesForecastYear1'!$E$12</f>
        <v>0</v>
      </c>
      <c r="AC32" s="241">
        <f>+AC30*'3a-SalesForecastYear1'!$E$12</f>
        <v>0</v>
      </c>
      <c r="AD32" s="201">
        <f t="shared" si="2"/>
        <v>0</v>
      </c>
      <c r="AE32" s="202">
        <f t="shared" si="4"/>
        <v>0</v>
      </c>
      <c r="AF32" s="198">
        <f t="shared" si="13"/>
        <v>0</v>
      </c>
    </row>
    <row r="33" ht="13.5" customHeight="1">
      <c r="A33" s="203" t="s">
        <v>135</v>
      </c>
      <c r="B33" s="244">
        <f>'3a-SalesForecastYear1'!O39</f>
        <v>8586</v>
      </c>
      <c r="C33" s="248">
        <f t="shared" si="5"/>
        <v>1890</v>
      </c>
      <c r="D33" s="248">
        <f t="shared" si="5"/>
        <v>1946.7</v>
      </c>
      <c r="E33" s="248">
        <f t="shared" si="5"/>
        <v>2005.101</v>
      </c>
      <c r="F33" s="248">
        <f t="shared" si="5"/>
        <v>2065.25403</v>
      </c>
      <c r="G33" s="248">
        <f t="shared" si="5"/>
        <v>2127.2116509</v>
      </c>
      <c r="H33" s="248">
        <f t="shared" si="5"/>
        <v>2191.028000427</v>
      </c>
      <c r="I33" s="248">
        <f t="shared" si="5"/>
        <v>2256.75884043981</v>
      </c>
      <c r="J33" s="248">
        <f t="shared" si="5"/>
        <v>2324.46160565301</v>
      </c>
      <c r="K33" s="248">
        <f t="shared" si="5"/>
        <v>2394.1954538226</v>
      </c>
      <c r="L33" s="248">
        <f t="shared" si="5"/>
        <v>2466.02131743727</v>
      </c>
      <c r="M33" s="248">
        <f t="shared" si="5"/>
        <v>2540.00195696039</v>
      </c>
      <c r="N33" s="248">
        <f t="shared" si="5"/>
        <v>2616.2020156692</v>
      </c>
      <c r="O33" s="201">
        <f t="shared" si="2"/>
        <v>26822.9358713093</v>
      </c>
      <c r="P33" s="202">
        <f t="shared" si="6"/>
        <v>1</v>
      </c>
      <c r="Q33" s="198">
        <f t="shared" si="14"/>
        <v>0.0267925491196733</v>
      </c>
      <c r="R33" s="241">
        <f t="shared" si="5"/>
        <v>2616.2020156692</v>
      </c>
      <c r="S33" s="241">
        <f t="shared" si="5"/>
        <v>2668.52605598259</v>
      </c>
      <c r="T33" s="241">
        <f t="shared" si="5"/>
        <v>2721.89657710224</v>
      </c>
      <c r="U33" s="241">
        <f t="shared" si="5"/>
        <v>2776.33450864428</v>
      </c>
      <c r="V33" s="241">
        <f t="shared" si="5"/>
        <v>2831.86119881717</v>
      </c>
      <c r="W33" s="241">
        <f t="shared" si="5"/>
        <v>2888.49842279351</v>
      </c>
      <c r="X33" s="241">
        <f t="shared" si="5"/>
        <v>2946.26839124938</v>
      </c>
      <c r="Y33" s="241">
        <f t="shared" si="5"/>
        <v>3005.19375907438</v>
      </c>
      <c r="Z33" s="241">
        <f t="shared" si="5"/>
        <v>3065.29763425586</v>
      </c>
      <c r="AA33" s="241">
        <f t="shared" si="5"/>
        <v>3126.60358694098</v>
      </c>
      <c r="AB33" s="241">
        <f t="shared" si="5"/>
        <v>3189.1356586798</v>
      </c>
      <c r="AC33" s="241">
        <f t="shared" si="5"/>
        <v>3252.9183718534</v>
      </c>
      <c r="AD33" s="201">
        <f t="shared" si="2"/>
        <v>35088.7361810628</v>
      </c>
      <c r="AE33" s="202">
        <f t="shared" si="6"/>
        <v>1</v>
      </c>
      <c r="AF33" s="198">
        <f t="shared" si="15"/>
        <v>0.0267925491196732</v>
      </c>
    </row>
    <row r="34" ht="12" customHeight="1">
      <c r="A34" s="218"/>
      <c r="B34" s="246"/>
      <c r="C34" s="207"/>
      <c r="D34" s="207"/>
      <c r="E34" s="207"/>
      <c r="F34" s="220"/>
      <c r="G34" s="220"/>
      <c r="H34" s="220"/>
      <c r="I34" s="220"/>
      <c r="J34" s="220"/>
      <c r="K34" s="220"/>
      <c r="L34" s="220"/>
      <c r="M34" s="220"/>
      <c r="N34" s="220"/>
      <c r="O34" s="221"/>
      <c r="P34" s="105"/>
      <c r="Q34" s="209"/>
      <c r="R34" s="207"/>
      <c r="S34" s="207"/>
      <c r="T34" s="207"/>
      <c r="U34" s="220"/>
      <c r="V34" s="220"/>
      <c r="W34" s="220"/>
      <c r="X34" s="220"/>
      <c r="Y34" s="220"/>
      <c r="Z34" s="220"/>
      <c r="AA34" s="220"/>
      <c r="AB34" s="220"/>
      <c r="AC34" s="220"/>
      <c r="AD34" s="221"/>
      <c r="AE34" s="105"/>
      <c r="AF34" s="209"/>
    </row>
    <row r="35" ht="12" customHeight="1">
      <c r="A35" s="192" t="str">
        <f>'3a-SalesForecastYear1'!B41</f>
        <v>Product 5</v>
      </c>
      <c r="B35" s="192"/>
      <c r="C35" s="216"/>
      <c r="D35" s="216"/>
      <c r="E35" s="216"/>
      <c r="F35" s="216"/>
      <c r="G35" s="216"/>
      <c r="H35" s="216"/>
      <c r="I35" s="216"/>
      <c r="J35" s="216"/>
      <c r="K35" s="216"/>
      <c r="L35" s="216"/>
      <c r="M35" s="216"/>
      <c r="N35" s="216"/>
      <c r="O35" s="194"/>
      <c r="P35" s="105"/>
      <c r="Q35" s="209"/>
      <c r="R35" s="216"/>
      <c r="S35" s="216"/>
      <c r="T35" s="216"/>
      <c r="U35" s="216"/>
      <c r="V35" s="216"/>
      <c r="W35" s="216"/>
      <c r="X35" s="216"/>
      <c r="Y35" s="216"/>
      <c r="Z35" s="216"/>
      <c r="AA35" s="216"/>
      <c r="AB35" s="216"/>
      <c r="AC35" s="216"/>
      <c r="AD35" s="194"/>
      <c r="AE35" s="105"/>
      <c r="AF35" s="209"/>
    </row>
    <row r="36" ht="12" customHeight="1">
      <c r="A36" s="195" t="str">
        <f>Unit5&amp;" Sold"</f>
        <v> Sold</v>
      </c>
      <c r="B36" s="195">
        <f>Unit5_Annual</f>
        <v>0</v>
      </c>
      <c r="C36" s="239">
        <f>'3a-SalesForecastYear1'!N42</f>
        <v>0</v>
      </c>
      <c r="D36" s="239">
        <f t="shared" si="0"/>
        <v>0</v>
      </c>
      <c r="E36" s="239">
        <f t="shared" si="0"/>
        <v>0</v>
      </c>
      <c r="F36" s="239">
        <f t="shared" si="0"/>
        <v>0</v>
      </c>
      <c r="G36" s="239">
        <f t="shared" si="0"/>
        <v>0</v>
      </c>
      <c r="H36" s="239">
        <f t="shared" si="0"/>
        <v>0</v>
      </c>
      <c r="I36" s="239">
        <f t="shared" si="0"/>
        <v>0</v>
      </c>
      <c r="J36" s="239">
        <f t="shared" si="0"/>
        <v>0</v>
      </c>
      <c r="K36" s="239">
        <f t="shared" si="0"/>
        <v>0</v>
      </c>
      <c r="L36" s="239">
        <f t="shared" si="0"/>
        <v>0</v>
      </c>
      <c r="M36" s="239">
        <f t="shared" si="0"/>
        <v>0</v>
      </c>
      <c r="N36" s="239">
        <f t="shared" si="0"/>
        <v>0</v>
      </c>
      <c r="O36" s="197">
        <f t="shared" si="2"/>
        <v>0</v>
      </c>
      <c r="P36" s="105"/>
      <c r="Q36" s="198">
        <f t="shared" si="7"/>
        <v>0</v>
      </c>
      <c r="R36" s="239">
        <f t="shared" si="8"/>
        <v>0</v>
      </c>
      <c r="S36" s="239">
        <f t="shared" si="1"/>
        <v>0</v>
      </c>
      <c r="T36" s="239">
        <f t="shared" si="1"/>
        <v>0</v>
      </c>
      <c r="U36" s="239">
        <f t="shared" si="1"/>
        <v>0</v>
      </c>
      <c r="V36" s="239">
        <f t="shared" si="1"/>
        <v>0</v>
      </c>
      <c r="W36" s="239">
        <f t="shared" si="1"/>
        <v>0</v>
      </c>
      <c r="X36" s="239">
        <f t="shared" si="1"/>
        <v>0</v>
      </c>
      <c r="Y36" s="239">
        <f t="shared" si="1"/>
        <v>0</v>
      </c>
      <c r="Z36" s="239">
        <f t="shared" si="1"/>
        <v>0</v>
      </c>
      <c r="AA36" s="239">
        <f t="shared" si="1"/>
        <v>0</v>
      </c>
      <c r="AB36" s="239">
        <f t="shared" si="1"/>
        <v>0</v>
      </c>
      <c r="AC36" s="239">
        <f t="shared" si="1"/>
        <v>0</v>
      </c>
      <c r="AD36" s="197">
        <f t="shared" si="2"/>
        <v>0</v>
      </c>
      <c r="AE36" s="105"/>
      <c r="AF36" s="198">
        <f t="shared" si="9"/>
        <v>0</v>
      </c>
    </row>
    <row r="37" ht="12" customHeight="1">
      <c r="A37" s="214" t="s">
        <v>132</v>
      </c>
      <c r="B37" s="245">
        <f>Category5_Annual_Sales</f>
        <v>0</v>
      </c>
      <c r="C37" s="241">
        <f>+C36*'3a-SalesForecastYear1'!$D$13</f>
        <v>0</v>
      </c>
      <c r="D37" s="241">
        <f>+D36*'3a-SalesForecastYear1'!$D$13</f>
        <v>0</v>
      </c>
      <c r="E37" s="241">
        <f>+E36*'3a-SalesForecastYear1'!$D$13</f>
        <v>0</v>
      </c>
      <c r="F37" s="241">
        <f>+F36*'3a-SalesForecastYear1'!$D$13</f>
        <v>0</v>
      </c>
      <c r="G37" s="241">
        <f>+G36*'3a-SalesForecastYear1'!$D$13</f>
        <v>0</v>
      </c>
      <c r="H37" s="241">
        <f>+H36*'3a-SalesForecastYear1'!$D$13</f>
        <v>0</v>
      </c>
      <c r="I37" s="241">
        <f>+I36*'3a-SalesForecastYear1'!$D$13</f>
        <v>0</v>
      </c>
      <c r="J37" s="241">
        <f>+J36*'3a-SalesForecastYear1'!$D$13</f>
        <v>0</v>
      </c>
      <c r="K37" s="241">
        <f>+K36*'3a-SalesForecastYear1'!$D$13</f>
        <v>0</v>
      </c>
      <c r="L37" s="241">
        <f>+L36*'3a-SalesForecastYear1'!$D$13</f>
        <v>0</v>
      </c>
      <c r="M37" s="241">
        <f>+M36*'3a-SalesForecastYear1'!$D$13</f>
        <v>0</v>
      </c>
      <c r="N37" s="241">
        <f>+N36*'3a-SalesForecastYear1'!$D$13</f>
        <v>0</v>
      </c>
      <c r="O37" s="201">
        <f t="shared" si="2"/>
        <v>0</v>
      </c>
      <c r="P37" s="202">
        <f t="shared" si="3"/>
        <v>0</v>
      </c>
      <c r="Q37" s="198">
        <f t="shared" si="10"/>
        <v>0</v>
      </c>
      <c r="R37" s="241">
        <f>+R36*'3a-SalesForecastYear1'!$D$13</f>
        <v>0</v>
      </c>
      <c r="S37" s="241">
        <f>+S36*'3a-SalesForecastYear1'!$D$13</f>
        <v>0</v>
      </c>
      <c r="T37" s="241">
        <f>+T36*'3a-SalesForecastYear1'!$D$13</f>
        <v>0</v>
      </c>
      <c r="U37" s="241">
        <f>+U36*'3a-SalesForecastYear1'!$D$13</f>
        <v>0</v>
      </c>
      <c r="V37" s="241">
        <f>+V36*'3a-SalesForecastYear1'!$D$13</f>
        <v>0</v>
      </c>
      <c r="W37" s="241">
        <f>+W36*'3a-SalesForecastYear1'!$D$13</f>
        <v>0</v>
      </c>
      <c r="X37" s="241">
        <f>+X36*'3a-SalesForecastYear1'!$D$13</f>
        <v>0</v>
      </c>
      <c r="Y37" s="241">
        <f>+Y36*'3a-SalesForecastYear1'!$D$13</f>
        <v>0</v>
      </c>
      <c r="Z37" s="241">
        <f>+Z36*'3a-SalesForecastYear1'!$D$13</f>
        <v>0</v>
      </c>
      <c r="AA37" s="241">
        <f>+AA36*'3a-SalesForecastYear1'!$D$13</f>
        <v>0</v>
      </c>
      <c r="AB37" s="241">
        <f>+AB36*'3a-SalesForecastYear1'!$D$13</f>
        <v>0</v>
      </c>
      <c r="AC37" s="241">
        <f>+AC36*'3a-SalesForecastYear1'!$D$13</f>
        <v>0</v>
      </c>
      <c r="AD37" s="201">
        <f t="shared" si="2"/>
        <v>0</v>
      </c>
      <c r="AE37" s="202">
        <f t="shared" si="3"/>
        <v>0</v>
      </c>
      <c r="AF37" s="198">
        <f t="shared" si="11"/>
        <v>0</v>
      </c>
    </row>
    <row r="38" ht="12" customHeight="1">
      <c r="A38" s="214" t="s">
        <v>133</v>
      </c>
      <c r="B38" s="245">
        <f>'3a-SalesForecastYear1'!O44</f>
        <v>0</v>
      </c>
      <c r="C38" s="241">
        <f>+C36*'3a-SalesForecastYear1'!$E$13</f>
        <v>0</v>
      </c>
      <c r="D38" s="241">
        <f>+D36*'3a-SalesForecastYear1'!$E$13</f>
        <v>0</v>
      </c>
      <c r="E38" s="241">
        <f>+E36*'3a-SalesForecastYear1'!$E$13</f>
        <v>0</v>
      </c>
      <c r="F38" s="241">
        <f>+F36*'3a-SalesForecastYear1'!$E$13</f>
        <v>0</v>
      </c>
      <c r="G38" s="241">
        <f>+G36*'3a-SalesForecastYear1'!$E$13</f>
        <v>0</v>
      </c>
      <c r="H38" s="241">
        <f>+H36*'3a-SalesForecastYear1'!$E$13</f>
        <v>0</v>
      </c>
      <c r="I38" s="241">
        <f>+I36*'3a-SalesForecastYear1'!$E$13</f>
        <v>0</v>
      </c>
      <c r="J38" s="241">
        <f>+J36*'3a-SalesForecastYear1'!$E$13</f>
        <v>0</v>
      </c>
      <c r="K38" s="241">
        <f>+K36*'3a-SalesForecastYear1'!$E$13</f>
        <v>0</v>
      </c>
      <c r="L38" s="241">
        <f>+L36*'3a-SalesForecastYear1'!$E$13</f>
        <v>0</v>
      </c>
      <c r="M38" s="241">
        <f>+M36*'3a-SalesForecastYear1'!$E$13</f>
        <v>0</v>
      </c>
      <c r="N38" s="241">
        <f>+N36*'3a-SalesForecastYear1'!$E$13</f>
        <v>0</v>
      </c>
      <c r="O38" s="201">
        <f t="shared" si="2"/>
        <v>0</v>
      </c>
      <c r="P38" s="202">
        <f t="shared" si="4"/>
        <v>0</v>
      </c>
      <c r="Q38" s="198">
        <f t="shared" si="12"/>
        <v>0</v>
      </c>
      <c r="R38" s="241">
        <f>+R36*'3a-SalesForecastYear1'!$E$13</f>
        <v>0</v>
      </c>
      <c r="S38" s="241">
        <f>+S36*'3a-SalesForecastYear1'!$E$13</f>
        <v>0</v>
      </c>
      <c r="T38" s="241">
        <f>+T36*'3a-SalesForecastYear1'!$E$13</f>
        <v>0</v>
      </c>
      <c r="U38" s="241">
        <f>+U36*'3a-SalesForecastYear1'!$E$13</f>
        <v>0</v>
      </c>
      <c r="V38" s="241">
        <f>+V36*'3a-SalesForecastYear1'!$E$13</f>
        <v>0</v>
      </c>
      <c r="W38" s="241">
        <f>+W36*'3a-SalesForecastYear1'!$E$13</f>
        <v>0</v>
      </c>
      <c r="X38" s="241">
        <f>+X36*'3a-SalesForecastYear1'!$E$13</f>
        <v>0</v>
      </c>
      <c r="Y38" s="241">
        <f>+Y36*'3a-SalesForecastYear1'!$E$13</f>
        <v>0</v>
      </c>
      <c r="Z38" s="241">
        <f>+Z36*'3a-SalesForecastYear1'!$E$13</f>
        <v>0</v>
      </c>
      <c r="AA38" s="241">
        <f>+AA36*'3a-SalesForecastYear1'!$E$13</f>
        <v>0</v>
      </c>
      <c r="AB38" s="241">
        <f>+AB36*'3a-SalesForecastYear1'!$E$13</f>
        <v>0</v>
      </c>
      <c r="AC38" s="241">
        <f>+AC36*'3a-SalesForecastYear1'!$E$13</f>
        <v>0</v>
      </c>
      <c r="AD38" s="201">
        <f t="shared" si="2"/>
        <v>0</v>
      </c>
      <c r="AE38" s="202">
        <f t="shared" si="4"/>
        <v>0</v>
      </c>
      <c r="AF38" s="198">
        <f t="shared" si="13"/>
        <v>0</v>
      </c>
    </row>
    <row r="39" ht="12" customHeight="1">
      <c r="A39" s="203" t="s">
        <v>135</v>
      </c>
      <c r="B39" s="244">
        <f>'3a-SalesForecastYear1'!O45</f>
        <v>0</v>
      </c>
      <c r="C39" s="249">
        <f t="shared" si="5"/>
        <v>0</v>
      </c>
      <c r="D39" s="249">
        <f t="shared" si="5"/>
        <v>0</v>
      </c>
      <c r="E39" s="249">
        <f t="shared" si="5"/>
        <v>0</v>
      </c>
      <c r="F39" s="249">
        <f t="shared" si="5"/>
        <v>0</v>
      </c>
      <c r="G39" s="249">
        <f t="shared" si="5"/>
        <v>0</v>
      </c>
      <c r="H39" s="249">
        <f t="shared" si="5"/>
        <v>0</v>
      </c>
      <c r="I39" s="249">
        <f t="shared" si="5"/>
        <v>0</v>
      </c>
      <c r="J39" s="249">
        <f t="shared" si="5"/>
        <v>0</v>
      </c>
      <c r="K39" s="249">
        <f t="shared" si="5"/>
        <v>0</v>
      </c>
      <c r="L39" s="249">
        <f t="shared" si="5"/>
        <v>0</v>
      </c>
      <c r="M39" s="249">
        <f t="shared" si="5"/>
        <v>0</v>
      </c>
      <c r="N39" s="249">
        <f t="shared" si="5"/>
        <v>0</v>
      </c>
      <c r="O39" s="201">
        <f t="shared" si="2"/>
        <v>0</v>
      </c>
      <c r="P39" s="202">
        <f t="shared" si="6"/>
        <v>0</v>
      </c>
      <c r="Q39" s="198">
        <f t="shared" si="14"/>
        <v>0</v>
      </c>
      <c r="R39" s="241">
        <f t="shared" si="5"/>
        <v>0</v>
      </c>
      <c r="S39" s="241">
        <f t="shared" si="5"/>
        <v>0</v>
      </c>
      <c r="T39" s="241">
        <f t="shared" si="5"/>
        <v>0</v>
      </c>
      <c r="U39" s="241">
        <f t="shared" si="5"/>
        <v>0</v>
      </c>
      <c r="V39" s="241">
        <f t="shared" si="5"/>
        <v>0</v>
      </c>
      <c r="W39" s="241">
        <f t="shared" si="5"/>
        <v>0</v>
      </c>
      <c r="X39" s="241">
        <f t="shared" si="5"/>
        <v>0</v>
      </c>
      <c r="Y39" s="241">
        <f t="shared" si="5"/>
        <v>0</v>
      </c>
      <c r="Z39" s="241">
        <f t="shared" si="5"/>
        <v>0</v>
      </c>
      <c r="AA39" s="241">
        <f t="shared" si="5"/>
        <v>0</v>
      </c>
      <c r="AB39" s="241">
        <f t="shared" si="5"/>
        <v>0</v>
      </c>
      <c r="AC39" s="241">
        <f t="shared" si="5"/>
        <v>0</v>
      </c>
      <c r="AD39" s="201">
        <f t="shared" si="2"/>
        <v>0</v>
      </c>
      <c r="AE39" s="202">
        <f t="shared" si="6"/>
        <v>0</v>
      </c>
      <c r="AF39" s="198">
        <f t="shared" si="15"/>
        <v>0</v>
      </c>
    </row>
    <row r="40" ht="12" customHeight="1">
      <c r="A40" s="218"/>
      <c r="B40" s="246"/>
      <c r="C40" s="223"/>
      <c r="D40" s="223"/>
      <c r="E40" s="223"/>
      <c r="F40" s="223"/>
      <c r="G40" s="223"/>
      <c r="H40" s="223"/>
      <c r="I40" s="223"/>
      <c r="J40" s="223"/>
      <c r="K40" s="223"/>
      <c r="L40" s="223"/>
      <c r="M40" s="223"/>
      <c r="N40" s="223"/>
      <c r="O40" s="221"/>
      <c r="P40" s="105"/>
      <c r="Q40" s="209"/>
      <c r="R40" s="223"/>
      <c r="S40" s="223"/>
      <c r="T40" s="223"/>
      <c r="U40" s="223"/>
      <c r="V40" s="223"/>
      <c r="W40" s="223"/>
      <c r="X40" s="223"/>
      <c r="Y40" s="223"/>
      <c r="Z40" s="223"/>
      <c r="AA40" s="223"/>
      <c r="AB40" s="223"/>
      <c r="AC40" s="223"/>
      <c r="AD40" s="221"/>
      <c r="AE40" s="105"/>
      <c r="AF40" s="209"/>
    </row>
    <row r="41" ht="12" customHeight="1">
      <c r="A41" s="192" t="str">
        <f>'3a-SalesForecastYear1'!B47</f>
        <v>Product 6</v>
      </c>
      <c r="B41" s="192"/>
      <c r="C41" s="224"/>
      <c r="D41" s="224"/>
      <c r="E41" s="224"/>
      <c r="F41" s="224"/>
      <c r="G41" s="224"/>
      <c r="H41" s="224"/>
      <c r="I41" s="224"/>
      <c r="J41" s="224"/>
      <c r="K41" s="224"/>
      <c r="L41" s="224"/>
      <c r="M41" s="224"/>
      <c r="N41" s="224"/>
      <c r="O41" s="194"/>
      <c r="P41" s="105"/>
      <c r="Q41" s="209"/>
      <c r="R41" s="224"/>
      <c r="S41" s="224"/>
      <c r="T41" s="224"/>
      <c r="U41" s="224"/>
      <c r="V41" s="224"/>
      <c r="W41" s="224"/>
      <c r="X41" s="224"/>
      <c r="Y41" s="224"/>
      <c r="Z41" s="224"/>
      <c r="AA41" s="224"/>
      <c r="AB41" s="224"/>
      <c r="AC41" s="224"/>
      <c r="AD41" s="194"/>
      <c r="AE41" s="105"/>
      <c r="AF41" s="209"/>
    </row>
    <row r="42" ht="12" customHeight="1">
      <c r="A42" s="195" t="str">
        <f>Unit6&amp;" Sold"</f>
        <v> Sold</v>
      </c>
      <c r="B42" s="195">
        <f>Unit6_Annual</f>
        <v>0</v>
      </c>
      <c r="C42" s="247">
        <f>'3a-SalesForecastYear1'!N48</f>
        <v>0</v>
      </c>
      <c r="D42" s="239">
        <f t="shared" si="0"/>
        <v>0</v>
      </c>
      <c r="E42" s="239">
        <f t="shared" si="0"/>
        <v>0</v>
      </c>
      <c r="F42" s="239">
        <f t="shared" si="0"/>
        <v>0</v>
      </c>
      <c r="G42" s="239">
        <f t="shared" si="0"/>
        <v>0</v>
      </c>
      <c r="H42" s="239">
        <f t="shared" si="0"/>
        <v>0</v>
      </c>
      <c r="I42" s="239">
        <f t="shared" si="0"/>
        <v>0</v>
      </c>
      <c r="J42" s="239">
        <f t="shared" si="0"/>
        <v>0</v>
      </c>
      <c r="K42" s="239">
        <f t="shared" si="0"/>
        <v>0</v>
      </c>
      <c r="L42" s="239">
        <f t="shared" si="0"/>
        <v>0</v>
      </c>
      <c r="M42" s="239">
        <f t="shared" si="0"/>
        <v>0</v>
      </c>
      <c r="N42" s="239">
        <f t="shared" si="0"/>
        <v>0</v>
      </c>
      <c r="O42" s="197">
        <f t="shared" si="2"/>
        <v>0</v>
      </c>
      <c r="P42" s="105"/>
      <c r="Q42" s="198">
        <f t="shared" si="7"/>
        <v>0</v>
      </c>
      <c r="R42" s="239">
        <f t="shared" si="8"/>
        <v>0</v>
      </c>
      <c r="S42" s="239">
        <f t="shared" si="1"/>
        <v>0</v>
      </c>
      <c r="T42" s="239">
        <f t="shared" si="1"/>
        <v>0</v>
      </c>
      <c r="U42" s="239">
        <f t="shared" si="1"/>
        <v>0</v>
      </c>
      <c r="V42" s="239">
        <f t="shared" si="1"/>
        <v>0</v>
      </c>
      <c r="W42" s="239">
        <f t="shared" si="1"/>
        <v>0</v>
      </c>
      <c r="X42" s="239">
        <f t="shared" si="1"/>
        <v>0</v>
      </c>
      <c r="Y42" s="239">
        <f t="shared" si="1"/>
        <v>0</v>
      </c>
      <c r="Z42" s="239">
        <f t="shared" si="1"/>
        <v>0</v>
      </c>
      <c r="AA42" s="239">
        <f t="shared" si="1"/>
        <v>0</v>
      </c>
      <c r="AB42" s="239">
        <f t="shared" si="1"/>
        <v>0</v>
      </c>
      <c r="AC42" s="239">
        <f t="shared" si="1"/>
        <v>0</v>
      </c>
      <c r="AD42" s="197">
        <f t="shared" si="2"/>
        <v>0</v>
      </c>
      <c r="AE42" s="105"/>
      <c r="AF42" s="198">
        <f t="shared" si="9"/>
        <v>0</v>
      </c>
    </row>
    <row r="43" ht="12" customHeight="1">
      <c r="A43" s="214" t="s">
        <v>132</v>
      </c>
      <c r="B43" s="245">
        <f>Category6_Annual_Sales</f>
        <v>0</v>
      </c>
      <c r="C43" s="241">
        <f>+C42*'3a-SalesForecastYear1'!$D$14</f>
        <v>0</v>
      </c>
      <c r="D43" s="241">
        <f>+D42*'3a-SalesForecastYear1'!$D$14</f>
        <v>0</v>
      </c>
      <c r="E43" s="241">
        <f>+E42*'3a-SalesForecastYear1'!$D$14</f>
        <v>0</v>
      </c>
      <c r="F43" s="241">
        <f>+F42*'3a-SalesForecastYear1'!$D$14</f>
        <v>0</v>
      </c>
      <c r="G43" s="241">
        <f>+G42*'3a-SalesForecastYear1'!$D$14</f>
        <v>0</v>
      </c>
      <c r="H43" s="241">
        <f>+H42*'3a-SalesForecastYear1'!$D$14</f>
        <v>0</v>
      </c>
      <c r="I43" s="241">
        <f>+I42*'3a-SalesForecastYear1'!$D$14</f>
        <v>0</v>
      </c>
      <c r="J43" s="241">
        <f>+J42*'3a-SalesForecastYear1'!$D$14</f>
        <v>0</v>
      </c>
      <c r="K43" s="241">
        <f>+K42*'3a-SalesForecastYear1'!$D$14</f>
        <v>0</v>
      </c>
      <c r="L43" s="241">
        <f>+L42*'3a-SalesForecastYear1'!$D$14</f>
        <v>0</v>
      </c>
      <c r="M43" s="241">
        <f>+M42*'3a-SalesForecastYear1'!$D$14</f>
        <v>0</v>
      </c>
      <c r="N43" s="241">
        <f>+N42*'3a-SalesForecastYear1'!$D$14</f>
        <v>0</v>
      </c>
      <c r="O43" s="201">
        <f t="shared" si="2"/>
        <v>0</v>
      </c>
      <c r="P43" s="202">
        <f t="shared" si="3"/>
        <v>0</v>
      </c>
      <c r="Q43" s="198">
        <f t="shared" si="10"/>
        <v>0</v>
      </c>
      <c r="R43" s="241">
        <f>+R42*'3a-SalesForecastYear1'!$D$14</f>
        <v>0</v>
      </c>
      <c r="S43" s="241">
        <f>+S42*'3a-SalesForecastYear1'!$D$14</f>
        <v>0</v>
      </c>
      <c r="T43" s="241">
        <f>+T42*'3a-SalesForecastYear1'!$D$14</f>
        <v>0</v>
      </c>
      <c r="U43" s="241">
        <f>+U42*'3a-SalesForecastYear1'!$D$14</f>
        <v>0</v>
      </c>
      <c r="V43" s="241">
        <f>+V42*'3a-SalesForecastYear1'!$D$14</f>
        <v>0</v>
      </c>
      <c r="W43" s="241">
        <f>+W42*'3a-SalesForecastYear1'!$D$14</f>
        <v>0</v>
      </c>
      <c r="X43" s="241">
        <f>+X42*'3a-SalesForecastYear1'!$D$14</f>
        <v>0</v>
      </c>
      <c r="Y43" s="241">
        <f>+Y42*'3a-SalesForecastYear1'!$D$14</f>
        <v>0</v>
      </c>
      <c r="Z43" s="241">
        <f>+Z42*'3a-SalesForecastYear1'!$D$14</f>
        <v>0</v>
      </c>
      <c r="AA43" s="241">
        <f>+AA42*'3a-SalesForecastYear1'!$D$14</f>
        <v>0</v>
      </c>
      <c r="AB43" s="241">
        <f>+AB42*'3a-SalesForecastYear1'!$D$14</f>
        <v>0</v>
      </c>
      <c r="AC43" s="241">
        <f>+AC42*'3a-SalesForecastYear1'!$D$14</f>
        <v>0</v>
      </c>
      <c r="AD43" s="201">
        <f t="shared" si="2"/>
        <v>0</v>
      </c>
      <c r="AE43" s="202">
        <f t="shared" si="3"/>
        <v>0</v>
      </c>
      <c r="AF43" s="198">
        <f t="shared" si="11"/>
        <v>0</v>
      </c>
    </row>
    <row r="44" ht="12" customHeight="1">
      <c r="A44" s="227" t="s">
        <v>133</v>
      </c>
      <c r="B44" s="243">
        <f>'3a-SalesForecastYear1'!O50</f>
        <v>0</v>
      </c>
      <c r="C44" s="241">
        <f>+C42*'3a-SalesForecastYear1'!$E$14</f>
        <v>0</v>
      </c>
      <c r="D44" s="241">
        <f>+D42*'3a-SalesForecastYear1'!$E$14</f>
        <v>0</v>
      </c>
      <c r="E44" s="241">
        <f>+E42*'3a-SalesForecastYear1'!$E$14</f>
        <v>0</v>
      </c>
      <c r="F44" s="241">
        <f>+F42*'3a-SalesForecastYear1'!$E$14</f>
        <v>0</v>
      </c>
      <c r="G44" s="241">
        <f>+G42*'3a-SalesForecastYear1'!$E$14</f>
        <v>0</v>
      </c>
      <c r="H44" s="241">
        <f>+H42*'3a-SalesForecastYear1'!$E$14</f>
        <v>0</v>
      </c>
      <c r="I44" s="241">
        <f>+I42*'3a-SalesForecastYear1'!$E$14</f>
        <v>0</v>
      </c>
      <c r="J44" s="241">
        <f>+J42*'3a-SalesForecastYear1'!$E$14</f>
        <v>0</v>
      </c>
      <c r="K44" s="241">
        <f>+K42*'3a-SalesForecastYear1'!$E$14</f>
        <v>0</v>
      </c>
      <c r="L44" s="241">
        <f>+L42*'3a-SalesForecastYear1'!$E$14</f>
        <v>0</v>
      </c>
      <c r="M44" s="241">
        <f>+M42*'3a-SalesForecastYear1'!$E$14</f>
        <v>0</v>
      </c>
      <c r="N44" s="241">
        <f>+N42*'3a-SalesForecastYear1'!$E$14</f>
        <v>0</v>
      </c>
      <c r="O44" s="201">
        <f t="shared" si="2"/>
        <v>0</v>
      </c>
      <c r="P44" s="202">
        <f t="shared" si="4"/>
        <v>0</v>
      </c>
      <c r="Q44" s="198">
        <f t="shared" si="12"/>
        <v>0</v>
      </c>
      <c r="R44" s="241">
        <f>+R42*'3a-SalesForecastYear1'!$E$14</f>
        <v>0</v>
      </c>
      <c r="S44" s="241">
        <f>+S42*'3a-SalesForecastYear1'!$E$14</f>
        <v>0</v>
      </c>
      <c r="T44" s="241">
        <f>+T42*'3a-SalesForecastYear1'!$E$14</f>
        <v>0</v>
      </c>
      <c r="U44" s="241">
        <f>+U42*'3a-SalesForecastYear1'!$E$14</f>
        <v>0</v>
      </c>
      <c r="V44" s="241">
        <f>+V42*'3a-SalesForecastYear1'!$E$14</f>
        <v>0</v>
      </c>
      <c r="W44" s="241">
        <f>+W42*'3a-SalesForecastYear1'!$E$14</f>
        <v>0</v>
      </c>
      <c r="X44" s="241">
        <f>+X42*'3a-SalesForecastYear1'!$E$14</f>
        <v>0</v>
      </c>
      <c r="Y44" s="241">
        <f>+Y42*'3a-SalesForecastYear1'!$E$14</f>
        <v>0</v>
      </c>
      <c r="Z44" s="241">
        <f>+Z42*'3a-SalesForecastYear1'!$E$14</f>
        <v>0</v>
      </c>
      <c r="AA44" s="241">
        <f>+AA42*'3a-SalesForecastYear1'!$E$14</f>
        <v>0</v>
      </c>
      <c r="AB44" s="241">
        <f>+AB42*'3a-SalesForecastYear1'!$E$14</f>
        <v>0</v>
      </c>
      <c r="AC44" s="241">
        <f>+AC42*'3a-SalesForecastYear1'!$E$14</f>
        <v>0</v>
      </c>
      <c r="AD44" s="201">
        <f t="shared" si="2"/>
        <v>0</v>
      </c>
      <c r="AE44" s="202">
        <f t="shared" si="4"/>
        <v>0</v>
      </c>
      <c r="AF44" s="198">
        <f t="shared" si="13"/>
        <v>0</v>
      </c>
    </row>
    <row r="45" ht="12" customHeight="1">
      <c r="A45" s="199" t="s">
        <v>135</v>
      </c>
      <c r="B45" s="250">
        <f>'3a-SalesForecastYear1'!O51</f>
        <v>0</v>
      </c>
      <c r="C45" s="241">
        <f t="shared" si="5"/>
        <v>0</v>
      </c>
      <c r="D45" s="241">
        <f t="shared" si="5"/>
        <v>0</v>
      </c>
      <c r="E45" s="241">
        <f t="shared" si="5"/>
        <v>0</v>
      </c>
      <c r="F45" s="241">
        <f t="shared" si="5"/>
        <v>0</v>
      </c>
      <c r="G45" s="241">
        <f t="shared" si="5"/>
        <v>0</v>
      </c>
      <c r="H45" s="241">
        <f t="shared" si="5"/>
        <v>0</v>
      </c>
      <c r="I45" s="241">
        <f t="shared" si="5"/>
        <v>0</v>
      </c>
      <c r="J45" s="241">
        <f t="shared" si="5"/>
        <v>0</v>
      </c>
      <c r="K45" s="241">
        <f t="shared" si="5"/>
        <v>0</v>
      </c>
      <c r="L45" s="241">
        <f t="shared" si="5"/>
        <v>0</v>
      </c>
      <c r="M45" s="241">
        <f t="shared" si="5"/>
        <v>0</v>
      </c>
      <c r="N45" s="241">
        <f t="shared" si="5"/>
        <v>0</v>
      </c>
      <c r="O45" s="201">
        <f t="shared" si="2"/>
        <v>0</v>
      </c>
      <c r="P45" s="202">
        <f t="shared" si="6"/>
        <v>0</v>
      </c>
      <c r="Q45" s="198">
        <f t="shared" si="14"/>
        <v>0</v>
      </c>
      <c r="R45" s="241">
        <f t="shared" si="5"/>
        <v>0</v>
      </c>
      <c r="S45" s="241">
        <f t="shared" si="5"/>
        <v>0</v>
      </c>
      <c r="T45" s="241">
        <f t="shared" si="5"/>
        <v>0</v>
      </c>
      <c r="U45" s="241">
        <f t="shared" si="5"/>
        <v>0</v>
      </c>
      <c r="V45" s="241">
        <f t="shared" si="5"/>
        <v>0</v>
      </c>
      <c r="W45" s="241">
        <f t="shared" si="5"/>
        <v>0</v>
      </c>
      <c r="X45" s="241">
        <f t="shared" si="5"/>
        <v>0</v>
      </c>
      <c r="Y45" s="241">
        <f t="shared" si="5"/>
        <v>0</v>
      </c>
      <c r="Z45" s="241">
        <f t="shared" si="5"/>
        <v>0</v>
      </c>
      <c r="AA45" s="241">
        <f t="shared" si="5"/>
        <v>0</v>
      </c>
      <c r="AB45" s="241">
        <f t="shared" si="5"/>
        <v>0</v>
      </c>
      <c r="AC45" s="241">
        <f t="shared" si="5"/>
        <v>0</v>
      </c>
      <c r="AD45" s="201">
        <f t="shared" si="2"/>
        <v>0</v>
      </c>
      <c r="AE45" s="202">
        <f t="shared" si="6"/>
        <v>0</v>
      </c>
      <c r="AF45" s="198">
        <f t="shared" si="15"/>
        <v>0</v>
      </c>
    </row>
    <row r="46" ht="13.5" customHeight="1">
      <c r="A46" s="228" t="s">
        <v>139</v>
      </c>
      <c r="B46" s="228">
        <f>Units_Annual_Total</f>
        <v>1850</v>
      </c>
      <c r="C46" s="229">
        <f t="shared" si="16" ref="C46:AD49">C12+C18+C24+C30+C36+C42</f>
        <v>335</v>
      </c>
      <c r="D46" s="229">
        <f t="shared" si="16"/>
        <v>345.05</v>
      </c>
      <c r="E46" s="229">
        <f t="shared" si="16"/>
        <v>355.4015</v>
      </c>
      <c r="F46" s="229">
        <f t="shared" si="16"/>
        <v>366.063545</v>
      </c>
      <c r="G46" s="229">
        <f t="shared" si="16"/>
        <v>377.04545135</v>
      </c>
      <c r="H46" s="229">
        <f t="shared" si="16"/>
        <v>388.3568148905</v>
      </c>
      <c r="I46" s="229">
        <f t="shared" si="16"/>
        <v>400.007519337215</v>
      </c>
      <c r="J46" s="229">
        <f t="shared" si="16"/>
        <v>412.007744917331</v>
      </c>
      <c r="K46" s="229">
        <f t="shared" si="16"/>
        <v>424.367977264852</v>
      </c>
      <c r="L46" s="229">
        <f t="shared" si="16"/>
        <v>437.099016582798</v>
      </c>
      <c r="M46" s="229">
        <f t="shared" si="16"/>
        <v>450.211987080281</v>
      </c>
      <c r="N46" s="229">
        <f t="shared" si="16"/>
        <v>463.718346692689</v>
      </c>
      <c r="O46" s="197">
        <f t="shared" si="2"/>
        <v>4754.32990311567</v>
      </c>
      <c r="P46" s="105"/>
      <c r="Q46" s="209"/>
      <c r="R46" s="229">
        <f t="shared" si="16"/>
        <v>463.718346692689</v>
      </c>
      <c r="S46" s="229">
        <f t="shared" si="16"/>
        <v>472.992713626543</v>
      </c>
      <c r="T46" s="229">
        <f t="shared" si="16"/>
        <v>482.452567899075</v>
      </c>
      <c r="U46" s="229">
        <f t="shared" si="16"/>
        <v>492.101619257057</v>
      </c>
      <c r="V46" s="229">
        <f t="shared" si="16"/>
        <v>501.943651642199</v>
      </c>
      <c r="W46" s="229">
        <f t="shared" si="16"/>
        <v>511.982524675043</v>
      </c>
      <c r="X46" s="229">
        <f t="shared" si="16"/>
        <v>522.222175168544</v>
      </c>
      <c r="Y46" s="229">
        <f t="shared" si="16"/>
        <v>532.666618671915</v>
      </c>
      <c r="Z46" s="229">
        <f t="shared" si="16"/>
        <v>543.319951045354</v>
      </c>
      <c r="AA46" s="229">
        <f t="shared" si="16"/>
        <v>554.186350066261</v>
      </c>
      <c r="AB46" s="229">
        <f t="shared" si="16"/>
        <v>565.270077067587</v>
      </c>
      <c r="AC46" s="229">
        <f t="shared" si="16"/>
        <v>576.575478608937</v>
      </c>
      <c r="AD46" s="197">
        <f t="shared" si="2"/>
        <v>6219.4320744212</v>
      </c>
      <c r="AE46" s="105"/>
      <c r="AF46" s="209"/>
    </row>
    <row r="47" ht="13.5" customHeight="1">
      <c r="A47" s="230" t="s">
        <v>132</v>
      </c>
      <c r="B47" s="201">
        <f>Sales_Annual_Total</f>
        <v>611712</v>
      </c>
      <c r="C47" s="231">
        <f t="shared" si="16"/>
        <v>108702</v>
      </c>
      <c r="D47" s="231">
        <f t="shared" si="16"/>
        <v>111963.06</v>
      </c>
      <c r="E47" s="231">
        <f t="shared" si="16"/>
        <v>115321.9518</v>
      </c>
      <c r="F47" s="231">
        <f t="shared" si="16"/>
        <v>118781.610354</v>
      </c>
      <c r="G47" s="231">
        <f t="shared" si="16"/>
        <v>122345.05866462</v>
      </c>
      <c r="H47" s="231">
        <f t="shared" si="16"/>
        <v>126015.410424559</v>
      </c>
      <c r="I47" s="231">
        <f t="shared" si="16"/>
        <v>129795.872737295</v>
      </c>
      <c r="J47" s="231">
        <f t="shared" si="16"/>
        <v>133689.748919414</v>
      </c>
      <c r="K47" s="231">
        <f t="shared" si="16"/>
        <v>137700.441386997</v>
      </c>
      <c r="L47" s="231">
        <f t="shared" si="16"/>
        <v>141831.454628607</v>
      </c>
      <c r="M47" s="231">
        <f t="shared" si="16"/>
        <v>146086.398267465</v>
      </c>
      <c r="N47" s="231">
        <f t="shared" si="16"/>
        <v>150468.990215488</v>
      </c>
      <c r="O47" s="201">
        <f t="shared" si="2"/>
        <v>1542701.99739845</v>
      </c>
      <c r="P47" s="105"/>
      <c r="Q47" s="209"/>
      <c r="R47" s="231">
        <f t="shared" si="16"/>
        <v>150468.990215488</v>
      </c>
      <c r="S47" s="231">
        <f t="shared" si="16"/>
        <v>153478.370019798</v>
      </c>
      <c r="T47" s="231">
        <f t="shared" si="16"/>
        <v>156547.937420195</v>
      </c>
      <c r="U47" s="231">
        <f t="shared" si="16"/>
        <v>159678.896168599</v>
      </c>
      <c r="V47" s="231">
        <f t="shared" si="16"/>
        <v>162872.474091971</v>
      </c>
      <c r="W47" s="231">
        <f t="shared" si="16"/>
        <v>166129.923573811</v>
      </c>
      <c r="X47" s="231">
        <f t="shared" si="16"/>
        <v>169452.522045287</v>
      </c>
      <c r="Y47" s="231">
        <f t="shared" si="16"/>
        <v>172841.572486193</v>
      </c>
      <c r="Z47" s="231">
        <f t="shared" si="16"/>
        <v>176298.403935917</v>
      </c>
      <c r="AA47" s="231">
        <f t="shared" si="16"/>
        <v>179824.372014635</v>
      </c>
      <c r="AB47" s="231">
        <f t="shared" si="16"/>
        <v>183420.859454928</v>
      </c>
      <c r="AC47" s="231">
        <f t="shared" si="16"/>
        <v>187089.276644026</v>
      </c>
      <c r="AD47" s="201">
        <f t="shared" si="2"/>
        <v>2018103.59807085</v>
      </c>
      <c r="AE47" s="105"/>
      <c r="AF47" s="209"/>
    </row>
    <row r="48" ht="13.5" customHeight="1">
      <c r="A48" s="232" t="s">
        <v>140</v>
      </c>
      <c r="B48" s="215">
        <f>COGS_Annual_Total</f>
        <v>215640</v>
      </c>
      <c r="C48" s="233">
        <f t="shared" si="16"/>
        <v>38160</v>
      </c>
      <c r="D48" s="233">
        <f t="shared" si="16"/>
        <v>39304.8</v>
      </c>
      <c r="E48" s="233">
        <f t="shared" si="16"/>
        <v>40483.944</v>
      </c>
      <c r="F48" s="233">
        <f t="shared" si="16"/>
        <v>41698.46232</v>
      </c>
      <c r="G48" s="233">
        <f t="shared" si="16"/>
        <v>42949.4161896</v>
      </c>
      <c r="H48" s="233">
        <f t="shared" si="16"/>
        <v>44237.898675288</v>
      </c>
      <c r="I48" s="233">
        <f t="shared" si="16"/>
        <v>45565.0356355466</v>
      </c>
      <c r="J48" s="233">
        <f t="shared" si="16"/>
        <v>46931.986704613</v>
      </c>
      <c r="K48" s="233">
        <f t="shared" si="16"/>
        <v>48339.9463057514</v>
      </c>
      <c r="L48" s="233">
        <f t="shared" si="16"/>
        <v>49790.144694924</v>
      </c>
      <c r="M48" s="233">
        <f t="shared" si="16"/>
        <v>51283.8490357718</v>
      </c>
      <c r="N48" s="233">
        <f t="shared" si="16"/>
        <v>52822.3645068448</v>
      </c>
      <c r="O48" s="201">
        <f t="shared" si="2"/>
        <v>541567.84806834</v>
      </c>
      <c r="P48" s="105"/>
      <c r="Q48" s="209"/>
      <c r="R48" s="233">
        <f t="shared" si="16"/>
        <v>52822.3645068448</v>
      </c>
      <c r="S48" s="233">
        <f t="shared" si="16"/>
        <v>53878.8117969818</v>
      </c>
      <c r="T48" s="233">
        <f t="shared" si="16"/>
        <v>54956.3880329216</v>
      </c>
      <c r="U48" s="233">
        <f t="shared" si="16"/>
        <v>56055.51579358</v>
      </c>
      <c r="V48" s="233">
        <f t="shared" si="16"/>
        <v>57176.6261094518</v>
      </c>
      <c r="W48" s="233">
        <f t="shared" si="16"/>
        <v>58320.158631641</v>
      </c>
      <c r="X48" s="233">
        <f t="shared" si="16"/>
        <v>59486.5618042738</v>
      </c>
      <c r="Y48" s="233">
        <f t="shared" si="16"/>
        <v>60676.2930403592</v>
      </c>
      <c r="Z48" s="233">
        <f t="shared" si="16"/>
        <v>61889.8189011664</v>
      </c>
      <c r="AA48" s="233">
        <f t="shared" si="16"/>
        <v>63127.6152791896</v>
      </c>
      <c r="AB48" s="233">
        <f t="shared" si="16"/>
        <v>64390.1675847736</v>
      </c>
      <c r="AC48" s="233">
        <f t="shared" si="16"/>
        <v>65677.9709364688</v>
      </c>
      <c r="AD48" s="201">
        <f t="shared" si="2"/>
        <v>708458.292417652</v>
      </c>
      <c r="AE48" s="105"/>
      <c r="AF48" s="209"/>
    </row>
    <row r="49" ht="13.5" customHeight="1">
      <c r="A49" s="232" t="s">
        <v>134</v>
      </c>
      <c r="B49" s="215">
        <f>Margin_Annual_Total</f>
        <v>396072</v>
      </c>
      <c r="C49" s="234">
        <f t="shared" si="5"/>
        <v>70542</v>
      </c>
      <c r="D49" s="234">
        <f t="shared" si="5"/>
        <v>72658.26</v>
      </c>
      <c r="E49" s="234">
        <f t="shared" si="5"/>
        <v>74838.0078</v>
      </c>
      <c r="F49" s="234">
        <f t="shared" si="5"/>
        <v>77083.148034</v>
      </c>
      <c r="G49" s="234">
        <f t="shared" si="5"/>
        <v>79395.64247502</v>
      </c>
      <c r="H49" s="234">
        <f t="shared" si="5"/>
        <v>81777.511749271</v>
      </c>
      <c r="I49" s="234">
        <f t="shared" si="5"/>
        <v>84230.8371017484</v>
      </c>
      <c r="J49" s="234">
        <f t="shared" si="5"/>
        <v>86757.762214801</v>
      </c>
      <c r="K49" s="234">
        <f t="shared" si="5"/>
        <v>89360.4950812456</v>
      </c>
      <c r="L49" s="234">
        <f t="shared" si="5"/>
        <v>92041.309933683</v>
      </c>
      <c r="M49" s="234">
        <f t="shared" si="5"/>
        <v>94802.5492316932</v>
      </c>
      <c r="N49" s="234">
        <f t="shared" si="5"/>
        <v>97646.6257086432</v>
      </c>
      <c r="O49" s="215">
        <f t="shared" si="16"/>
        <v>1001134.14933011</v>
      </c>
      <c r="P49" s="105"/>
      <c r="Q49" s="209"/>
      <c r="R49" s="234">
        <f t="shared" si="5"/>
        <v>97646.6257086432</v>
      </c>
      <c r="S49" s="234">
        <f t="shared" si="5"/>
        <v>99599.5582228162</v>
      </c>
      <c r="T49" s="234">
        <f t="shared" si="5"/>
        <v>101591.549387273</v>
      </c>
      <c r="U49" s="234">
        <f t="shared" si="5"/>
        <v>103623.380375019</v>
      </c>
      <c r="V49" s="234">
        <f t="shared" si="5"/>
        <v>105695.847982519</v>
      </c>
      <c r="W49" s="234">
        <f t="shared" si="5"/>
        <v>107809.76494217</v>
      </c>
      <c r="X49" s="234">
        <f t="shared" si="5"/>
        <v>109965.960241013</v>
      </c>
      <c r="Y49" s="234">
        <f t="shared" si="5"/>
        <v>112165.279445834</v>
      </c>
      <c r="Z49" s="234">
        <f t="shared" si="5"/>
        <v>114408.585034751</v>
      </c>
      <c r="AA49" s="234">
        <f t="shared" si="5"/>
        <v>116696.756735445</v>
      </c>
      <c r="AB49" s="234">
        <f t="shared" si="5"/>
        <v>119030.691870154</v>
      </c>
      <c r="AC49" s="234">
        <f t="shared" si="5"/>
        <v>121411.305707557</v>
      </c>
      <c r="AD49" s="215">
        <f t="shared" si="16"/>
        <v>1309645.3056532</v>
      </c>
      <c r="AE49" s="105"/>
      <c r="AF49" s="209"/>
    </row>
  </sheetData>
  <sheetProtection sheet="1" formatColumns="0" objects="0" algorithmName="SHA-512" hashValue="ikelmI1yMClOPSLuYU8pdsgW05XTU4IPSrSJjEqsc7UO/WQknZcqPfGnmyn5lVw23RxdUPeyKejZ88g8+PhFjA==" saltValue="3tk5TUqKvxSAHtU21MqUmg==" spinCount="100000"/>
  <mergeCells>
    <mergeCell ref="C5:D5"/>
  </mergeCells>
  <conditionalFormatting sqref="C12:N15">
    <cfRule type="expression" dxfId="0" priority="19" stopIfTrue="1" text="null">
      <formula>LEN(TRIM(C12))=0</formula>
    </cfRule>
  </conditionalFormatting>
  <conditionalFormatting sqref="C18:N21">
    <cfRule type="expression" dxfId="0" priority="16" stopIfTrue="1" text="null">
      <formula>LEN(TRIM(C18))=0</formula>
    </cfRule>
  </conditionalFormatting>
  <conditionalFormatting sqref="C24:N27">
    <cfRule type="expression" dxfId="0" priority="15" stopIfTrue="1" text="null">
      <formula>LEN(TRIM(C24))=0</formula>
    </cfRule>
  </conditionalFormatting>
  <conditionalFormatting sqref="C30:N33">
    <cfRule type="expression" dxfId="0" priority="14" stopIfTrue="1" text="null">
      <formula>LEN(TRIM(C30))=0</formula>
    </cfRule>
  </conditionalFormatting>
  <conditionalFormatting sqref="C36:N39">
    <cfRule type="expression" dxfId="0" priority="13" stopIfTrue="1" text="null">
      <formula>LEN(TRIM(C36))=0</formula>
    </cfRule>
  </conditionalFormatting>
  <conditionalFormatting sqref="C42:N44">
    <cfRule type="expression" dxfId="0" priority="12" stopIfTrue="1" text="null">
      <formula>LEN(TRIM(C42))=0</formula>
    </cfRule>
  </conditionalFormatting>
  <conditionalFormatting sqref="R12:AC14">
    <cfRule type="expression" dxfId="0" priority="6" stopIfTrue="1" text="null">
      <formula>LEN(TRIM(R12))=0</formula>
    </cfRule>
  </conditionalFormatting>
  <conditionalFormatting sqref="R18:AC20">
    <cfRule type="expression" dxfId="0" priority="5" stopIfTrue="1" text="null">
      <formula>LEN(TRIM(R18))=0</formula>
    </cfRule>
  </conditionalFormatting>
  <conditionalFormatting sqref="R24:AC26">
    <cfRule type="expression" dxfId="0" priority="4" stopIfTrue="1" text="null">
      <formula>LEN(TRIM(R24))=0</formula>
    </cfRule>
  </conditionalFormatting>
  <conditionalFormatting sqref="R30:AC32">
    <cfRule type="expression" dxfId="0" priority="3" stopIfTrue="1" text="null">
      <formula>LEN(TRIM(R30))=0</formula>
    </cfRule>
  </conditionalFormatting>
  <conditionalFormatting sqref="R36:AC38">
    <cfRule type="expression" dxfId="0" priority="2" stopIfTrue="1" text="null">
      <formula>LEN(TRIM(R36))=0</formula>
    </cfRule>
  </conditionalFormatting>
  <conditionalFormatting sqref="R42:AC44">
    <cfRule type="expression" dxfId="0" priority="1" stopIfTrue="1" text="null">
      <formula>LEN(TRIM(R42))=0</formula>
    </cfRule>
  </conditionalFormatting>
  <printOptions horizontalCentered="1"/>
  <pageMargins left="0.7" right="0.7" top="0.75" bottom="0.75" header="0.3" footer="0.3"/>
  <pageSetup useFirstPageNumber="1" paperSize="1" scale="57" fitToWidth="2" pageOrder="downThenOver" orientation="landscape"/>
  <headerFooter differentFirst="1" scaleWithDoc="0">
    <oddHeader>&amp;L&amp;C&amp;"Gill Sans MT,Regular"&amp;12Sales Forecast Years 1-3&amp;R</oddHeader>
    <oddFooter>&amp;L&amp;"Gill Sans MT,Regular"&amp;12&amp;F&amp;C&amp;"Gill Sans MT,Regular"&amp;12&amp;A&amp;R&amp;"Gill Sans MT,Regular"&amp;12&amp;D &amp;T</oddFooter>
    <evenHeader>&amp;L&amp;C&amp;"Gill Sans MT,Regular"&amp;12Sales Forecast Years 1-3&amp;R</evenHeader>
    <firstHeader>&amp;L&amp;C&amp;"Gill Sans MT,Regular"&amp;12Sales Forecast Years 1-3&amp;R</firstHeader>
    <firstFooter>&amp;L&amp;F&amp;C&amp;A&amp;R&amp;D &amp;T</firstFooter>
  </headerFooter>
  <drawing r:id="rId1"/>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9C17588-AF28-D579-9438-4D787C35AED2}" mc:Ignorable="x14ac xr xr2 xr3">
  <sheetPr>
    <tabColor rgb="FFFFC95B"/>
    <pageSetUpPr fitToPage="1"/>
  </sheetPr>
  <dimension ref="A1:GR50000"/>
  <sheetViews>
    <sheetView topLeftCell="A14" zoomScale="125" workbookViewId="0">
      <selection activeCell="G10" sqref="G10"/>
    </sheetView>
  </sheetViews>
  <sheetFormatPr defaultRowHeight="12" defaultColWidth="8.8515625" customHeight="1"/>
  <cols>
    <col min="1" max="1" style="95" width="6.7109375" customWidth="1"/>
    <col min="2" max="2" style="95" width="30.8515625" customWidth="1"/>
    <col min="3" max="3" style="95" width="17.57421875" customWidth="1"/>
    <col min="4" max="4" style="95" width="13.57421875" customWidth="1"/>
    <col min="5" max="11" style="95" width="9.7109375" customWidth="1"/>
    <col min="12" max="12" style="95" width="11.8515625" customWidth="1"/>
    <col min="13" max="13" style="95" width="9.7109375" customWidth="1"/>
    <col min="14" max="15" style="95" width="11.140625" customWidth="1"/>
    <col min="16" max="16" style="95" width="15.7109375" customWidth="1"/>
    <col min="17" max="18" style="95" width="9.28125" customWidth="1"/>
    <col min="19" max="27" style="95" width="8.8515625" customWidth="1"/>
  </cols>
  <sheetData>
    <row r="2" ht="12" customHeight="1">
      <c r="B2" s="89" t="s">
        <v>148</v>
      </c>
      <c r="C2" s="251"/>
      <c r="E2" s="252"/>
    </row>
    <row r="3" ht="12" customHeight="1">
      <c r="B3" s="251"/>
      <c r="C3" s="251"/>
    </row>
    <row r="4" ht="12" customHeight="1">
      <c r="B4" s="173" t="s">
        <v>19</v>
      </c>
      <c r="C4" s="173" t="s">
        <v>20</v>
      </c>
    </row>
    <row r="5" ht="12" customHeight="1">
      <c r="B5" s="253" t="str">
        <f>IF(ISBLANK(Directions!C10),"Owner",Directions!C10)</f>
        <v>Owner</v>
      </c>
      <c r="C5" s="253" t="str">
        <f>IF(ISBLANK(Directions!D10),"Company 1",Directions!D10)</f>
        <v>Company 1</v>
      </c>
    </row>
    <row r="6" ht="12" customHeight="1">
      <c r="B6" s="254"/>
    </row>
    <row r="7" ht="12.75" customHeight="1">
      <c r="B7" s="96" t="s">
        <v>149</v>
      </c>
      <c r="C7" s="96"/>
      <c r="D7" s="96"/>
      <c r="E7" s="96"/>
    </row>
    <row r="8" ht="12.75" customHeight="1">
      <c r="B8" s="255" t="s">
        <v>150</v>
      </c>
      <c r="C8" s="256" t="s">
        <v>151</v>
      </c>
      <c r="D8" s="256" t="s">
        <v>152</v>
      </c>
      <c r="E8" s="256" t="s">
        <v>153</v>
      </c>
    </row>
    <row r="9" ht="12" customHeight="1">
      <c r="B9" s="257" t="s">
        <v>154</v>
      </c>
      <c r="C9" s="258">
        <v>1</v>
      </c>
      <c r="D9" s="258">
        <v>1</v>
      </c>
      <c r="E9" s="258">
        <v>1</v>
      </c>
    </row>
    <row r="10" ht="12" customHeight="1">
      <c r="B10" s="257" t="s">
        <v>155</v>
      </c>
      <c r="C10" s="258">
        <v>0</v>
      </c>
      <c r="D10" s="258">
        <v>0</v>
      </c>
      <c r="E10" s="258">
        <v>0</v>
      </c>
    </row>
    <row r="11" ht="12" customHeight="1">
      <c r="B11" s="257" t="s">
        <v>156</v>
      </c>
      <c r="C11" s="258">
        <v>0</v>
      </c>
      <c r="D11" s="258">
        <v>0</v>
      </c>
      <c r="E11" s="258">
        <v>0</v>
      </c>
    </row>
    <row r="12" ht="12" customHeight="1">
      <c r="B12" s="257" t="s">
        <v>157</v>
      </c>
      <c r="C12" s="259">
        <f t="shared" si="0" ref="C12:E12">1-SUM(C9:C11)</f>
        <v>0</v>
      </c>
      <c r="D12" s="259">
        <f t="shared" si="0"/>
        <v>0</v>
      </c>
      <c r="E12" s="259">
        <f t="shared" si="0"/>
        <v>0</v>
      </c>
    </row>
    <row r="13" ht="12" customHeight="1">
      <c r="B13" s="260" t="s">
        <v>158</v>
      </c>
      <c r="C13" s="261">
        <f t="shared" si="1" ref="C13:E13">SUM(C9:C12)</f>
        <v>1</v>
      </c>
      <c r="D13" s="261">
        <f t="shared" si="1"/>
        <v>1</v>
      </c>
      <c r="E13" s="261">
        <f t="shared" si="1"/>
        <v>1</v>
      </c>
    </row>
    <row r="15" ht="12.75" customHeight="1">
      <c r="B15" s="96" t="s">
        <v>159</v>
      </c>
      <c r="C15" s="96"/>
      <c r="D15" s="96"/>
      <c r="E15" s="96"/>
    </row>
    <row r="16" ht="12.75" customHeight="1">
      <c r="B16" s="255" t="s">
        <v>160</v>
      </c>
      <c r="C16" s="256" t="s">
        <v>151</v>
      </c>
      <c r="D16" s="256" t="s">
        <v>152</v>
      </c>
      <c r="E16" s="256" t="s">
        <v>153</v>
      </c>
    </row>
    <row r="17" ht="12" customHeight="1">
      <c r="B17" s="121" t="s">
        <v>154</v>
      </c>
      <c r="C17" s="258">
        <v>1</v>
      </c>
      <c r="D17" s="258">
        <v>1</v>
      </c>
      <c r="E17" s="258">
        <v>1</v>
      </c>
    </row>
    <row r="18" ht="12" customHeight="1">
      <c r="B18" s="121" t="s">
        <v>155</v>
      </c>
      <c r="C18" s="258">
        <v>0</v>
      </c>
      <c r="D18" s="258">
        <v>0</v>
      </c>
      <c r="E18" s="258">
        <v>0</v>
      </c>
    </row>
    <row r="19" ht="12" customHeight="1">
      <c r="B19" s="262" t="s">
        <v>156</v>
      </c>
      <c r="C19" s="258">
        <v>0</v>
      </c>
      <c r="D19" s="258">
        <v>0</v>
      </c>
      <c r="E19" s="258">
        <v>0</v>
      </c>
    </row>
    <row r="20" ht="12" customHeight="1">
      <c r="B20" s="260" t="s">
        <v>158</v>
      </c>
      <c r="C20" s="261">
        <f t="shared" si="2" ref="C20:E20">SUM(C17:C19)</f>
        <v>1</v>
      </c>
      <c r="D20" s="261">
        <f t="shared" si="2"/>
        <v>1</v>
      </c>
      <c r="E20" s="261">
        <f t="shared" si="2"/>
        <v>1</v>
      </c>
    </row>
    <row r="23" ht="12.75" customHeight="1">
      <c r="B23" s="96" t="s">
        <v>161</v>
      </c>
      <c r="C23" s="96"/>
      <c r="D23" s="96"/>
    </row>
    <row r="24" ht="12.75" customHeight="1">
      <c r="B24" s="263" t="s">
        <v>162</v>
      </c>
      <c r="C24" s="264"/>
      <c r="D24" s="265">
        <v>0</v>
      </c>
    </row>
    <row r="25" ht="12" customHeight="1">
      <c r="B25" s="266" t="s">
        <v>163</v>
      </c>
      <c r="C25" s="267"/>
      <c r="D25" s="268">
        <v>0.08</v>
      </c>
    </row>
    <row r="27" ht="12.75" customHeight="1">
      <c r="B27" s="96" t="s">
        <v>164</v>
      </c>
      <c r="C27" s="96"/>
      <c r="D27" s="96"/>
      <c r="E27" s="96"/>
      <c r="F27" s="96"/>
      <c r="G27" s="96"/>
      <c r="H27" s="96"/>
      <c r="I27" s="96"/>
      <c r="J27" s="96"/>
      <c r="K27" s="96"/>
      <c r="L27" s="96"/>
      <c r="M27" s="96"/>
      <c r="N27" s="96"/>
      <c r="O27" s="96"/>
      <c r="P27" s="96"/>
      <c r="Q27" s="96"/>
      <c r="R27" s="96"/>
    </row>
    <row r="28" ht="27" customHeight="1">
      <c r="B28" s="269" t="s">
        <v>23</v>
      </c>
      <c r="C28" s="270" t="s">
        <v>25</v>
      </c>
      <c r="D28" s="177" t="str">
        <f>'2a-PayrollYear1'!F7</f>
        <v>Month 1</v>
      </c>
      <c r="E28" s="177" t="str">
        <f>'2a-PayrollYear1'!G7</f>
        <v>Month 2</v>
      </c>
      <c r="F28" s="177" t="str">
        <f>'2a-PayrollYear1'!H7</f>
        <v>Month 3</v>
      </c>
      <c r="G28" s="177" t="str">
        <f>'2a-PayrollYear1'!I7</f>
        <v>Month 4</v>
      </c>
      <c r="H28" s="177" t="str">
        <f>'2a-PayrollYear1'!J7</f>
        <v>Month 5</v>
      </c>
      <c r="I28" s="177" t="str">
        <f>'2a-PayrollYear1'!K7</f>
        <v>Month 6</v>
      </c>
      <c r="J28" s="177" t="str">
        <f>'2a-PayrollYear1'!L7</f>
        <v>Month 7</v>
      </c>
      <c r="K28" s="177" t="str">
        <f>'2a-PayrollYear1'!M7</f>
        <v>Month 8</v>
      </c>
      <c r="L28" s="177" t="str">
        <f>'2a-PayrollYear1'!N7</f>
        <v>Month 9</v>
      </c>
      <c r="M28" s="177" t="str">
        <f>'2a-PayrollYear1'!O7</f>
        <v>Month 10</v>
      </c>
      <c r="N28" s="177" t="str">
        <f>'2a-PayrollYear1'!P7</f>
        <v>Month 11</v>
      </c>
      <c r="O28" s="177" t="str">
        <f>'2a-PayrollYear1'!Q7</f>
        <v>Month 12</v>
      </c>
      <c r="P28" s="271" t="s">
        <v>106</v>
      </c>
      <c r="Q28" s="177" t="s">
        <v>165</v>
      </c>
      <c r="R28" s="177" t="s">
        <v>166</v>
      </c>
    </row>
    <row r="29" ht="12" customHeight="1">
      <c r="B29" s="272" t="s">
        <v>167</v>
      </c>
      <c r="C29" s="273">
        <v>20</v>
      </c>
      <c r="D29" s="274">
        <f>Buildings</f>
        <v>0</v>
      </c>
      <c r="E29" s="275"/>
      <c r="F29" s="276"/>
      <c r="G29" s="276"/>
      <c r="H29" s="276"/>
      <c r="I29" s="276"/>
      <c r="J29" s="276"/>
      <c r="K29" s="276"/>
      <c r="L29" s="276"/>
      <c r="M29" s="276"/>
      <c r="N29" s="276"/>
      <c r="O29" s="276"/>
      <c r="P29" s="277">
        <f t="shared" si="3" ref="P29:P34">SUM(D29:O29)</f>
        <v>0</v>
      </c>
      <c r="Q29" s="278"/>
      <c r="R29" s="278"/>
    </row>
    <row r="30" ht="12" customHeight="1">
      <c r="B30" s="272" t="s">
        <v>30</v>
      </c>
      <c r="C30" s="273">
        <v>7</v>
      </c>
      <c r="D30" s="274">
        <f>LeaseImprovements</f>
        <v>0</v>
      </c>
      <c r="E30" s="275"/>
      <c r="F30" s="276"/>
      <c r="G30" s="276"/>
      <c r="H30" s="276"/>
      <c r="I30" s="276"/>
      <c r="J30" s="276"/>
      <c r="K30" s="276"/>
      <c r="L30" s="276"/>
      <c r="M30" s="276"/>
      <c r="N30" s="276"/>
      <c r="O30" s="276"/>
      <c r="P30" s="277">
        <f t="shared" si="3"/>
        <v>0</v>
      </c>
      <c r="Q30" s="278"/>
      <c r="R30" s="278"/>
    </row>
    <row r="31" ht="12" customHeight="1">
      <c r="B31" s="272" t="s">
        <v>31</v>
      </c>
      <c r="C31" s="273">
        <v>7</v>
      </c>
      <c r="D31" s="274">
        <f>Equipment</f>
        <v>0</v>
      </c>
      <c r="E31" s="275"/>
      <c r="F31" s="276"/>
      <c r="G31" s="276"/>
      <c r="H31" s="276"/>
      <c r="I31" s="276"/>
      <c r="J31" s="276"/>
      <c r="K31" s="276"/>
      <c r="L31" s="276"/>
      <c r="M31" s="276"/>
      <c r="N31" s="276"/>
      <c r="O31" s="276"/>
      <c r="P31" s="277">
        <f t="shared" si="3"/>
        <v>0</v>
      </c>
      <c r="Q31" s="278"/>
      <c r="R31" s="278"/>
    </row>
    <row r="32" ht="12" customHeight="1">
      <c r="B32" s="272" t="s">
        <v>32</v>
      </c>
      <c r="C32" s="273">
        <v>5</v>
      </c>
      <c r="D32" s="274">
        <f>Furniture</f>
        <v>0</v>
      </c>
      <c r="E32" s="275"/>
      <c r="F32" s="276"/>
      <c r="G32" s="276"/>
      <c r="H32" s="276"/>
      <c r="I32" s="276"/>
      <c r="J32" s="276"/>
      <c r="K32" s="276"/>
      <c r="L32" s="276"/>
      <c r="M32" s="276"/>
      <c r="N32" s="276"/>
      <c r="O32" s="276"/>
      <c r="P32" s="277">
        <f t="shared" si="3"/>
        <v>0</v>
      </c>
      <c r="Q32" s="278"/>
      <c r="R32" s="278"/>
    </row>
    <row r="33" ht="12" customHeight="1">
      <c r="B33" s="272" t="s">
        <v>33</v>
      </c>
      <c r="C33" s="273">
        <v>5</v>
      </c>
      <c r="D33" s="274">
        <f>Vehicles</f>
        <v>0</v>
      </c>
      <c r="E33" s="275"/>
      <c r="F33" s="276"/>
      <c r="G33" s="276"/>
      <c r="H33" s="276"/>
      <c r="I33" s="276"/>
      <c r="J33" s="276"/>
      <c r="K33" s="276"/>
      <c r="L33" s="276"/>
      <c r="M33" s="276"/>
      <c r="N33" s="276"/>
      <c r="O33" s="276"/>
      <c r="P33" s="277">
        <f t="shared" si="3"/>
        <v>0</v>
      </c>
      <c r="Q33" s="278"/>
      <c r="R33" s="278"/>
    </row>
    <row r="34" ht="12" customHeight="1">
      <c r="B34" s="272" t="s">
        <v>168</v>
      </c>
      <c r="C34" s="279">
        <v>5</v>
      </c>
      <c r="D34" s="280">
        <f>OtherFixedAssets</f>
        <v>0</v>
      </c>
      <c r="E34" s="281"/>
      <c r="F34" s="282"/>
      <c r="G34" s="276"/>
      <c r="H34" s="276"/>
      <c r="I34" s="276"/>
      <c r="J34" s="276"/>
      <c r="K34" s="276"/>
      <c r="L34" s="276"/>
      <c r="M34" s="276"/>
      <c r="N34" s="276"/>
      <c r="O34" s="276"/>
      <c r="P34" s="277">
        <f t="shared" si="3"/>
        <v>0</v>
      </c>
      <c r="Q34" s="278">
        <v>0</v>
      </c>
      <c r="R34" s="278">
        <v>0</v>
      </c>
    </row>
    <row r="35" ht="12" customHeight="1">
      <c r="B35" s="283" t="s">
        <v>169</v>
      </c>
      <c r="C35" s="284"/>
      <c r="D35" s="154">
        <f t="shared" si="4" ref="D35:R35">SUM(D29:D34)</f>
        <v>0</v>
      </c>
      <c r="E35" s="154">
        <f t="shared" si="4"/>
        <v>0</v>
      </c>
      <c r="F35" s="154">
        <f t="shared" si="4"/>
        <v>0</v>
      </c>
      <c r="G35" s="154">
        <f t="shared" si="4"/>
        <v>0</v>
      </c>
      <c r="H35" s="154">
        <f t="shared" si="4"/>
        <v>0</v>
      </c>
      <c r="I35" s="154">
        <f t="shared" si="4"/>
        <v>0</v>
      </c>
      <c r="J35" s="154">
        <f t="shared" si="4"/>
        <v>0</v>
      </c>
      <c r="K35" s="154">
        <f t="shared" si="4"/>
        <v>0</v>
      </c>
      <c r="L35" s="154">
        <f t="shared" si="4"/>
        <v>0</v>
      </c>
      <c r="M35" s="154">
        <f t="shared" si="4"/>
        <v>0</v>
      </c>
      <c r="N35" s="154">
        <f t="shared" si="4"/>
        <v>0</v>
      </c>
      <c r="O35" s="154">
        <f t="shared" si="4"/>
        <v>0</v>
      </c>
      <c r="P35" s="154">
        <f t="shared" si="4"/>
        <v>0</v>
      </c>
      <c r="Q35" s="154">
        <f t="shared" si="4"/>
        <v>0</v>
      </c>
      <c r="R35" s="154">
        <f t="shared" si="4"/>
        <v>0</v>
      </c>
    </row>
    <row r="38" ht="12.75" customHeight="1">
      <c r="B38" s="96" t="s">
        <v>170</v>
      </c>
      <c r="C38" s="96"/>
      <c r="D38" s="285"/>
      <c r="E38" s="285"/>
      <c r="F38" s="286"/>
      <c r="G38" s="287"/>
      <c r="H38" s="288"/>
    </row>
    <row r="39" ht="12.75" customHeight="1">
      <c r="B39" s="98" t="s">
        <v>171</v>
      </c>
      <c r="C39" s="289">
        <v>0</v>
      </c>
      <c r="D39" s="285"/>
      <c r="E39" s="285"/>
      <c r="F39" s="286"/>
      <c r="G39" s="290"/>
    </row>
    <row r="40" ht="12" customHeight="1">
      <c r="B40" s="98" t="s">
        <v>172</v>
      </c>
      <c r="C40" s="289">
        <v>0</v>
      </c>
      <c r="D40" s="285"/>
      <c r="E40" s="285"/>
      <c r="F40" s="286"/>
      <c r="G40" s="290"/>
    </row>
    <row r="41" ht="12" customHeight="1">
      <c r="B41" s="98" t="s">
        <v>173</v>
      </c>
      <c r="C41" s="289">
        <v>0</v>
      </c>
    </row>
    <row r="43" ht="12.75" customHeight="1">
      <c r="B43" s="96" t="s">
        <v>174</v>
      </c>
      <c r="C43" s="96"/>
    </row>
    <row r="44" ht="12.75" customHeight="1">
      <c r="B44" s="291" t="s">
        <v>175</v>
      </c>
      <c r="C44" s="292">
        <v>3</v>
      </c>
    </row>
    <row r="46" ht="13.5" customHeight="1">
      <c r="B46" s="293" t="s">
        <v>176</v>
      </c>
    </row>
    <row r="48" ht="13.5" customHeight="1">
      <c r="B48" s="95" t="s">
        <v>177</v>
      </c>
    </row>
    <row r="49" ht="13.5" customHeight="1">
      <c r="B49" s="95" t="s">
        <v>178</v>
      </c>
      <c r="C49" s="95">
        <v>10</v>
      </c>
    </row>
    <row r="50" ht="13.5" customHeight="1">
      <c r="B50" s="95" t="s">
        <v>179</v>
      </c>
      <c r="C50" s="294">
        <v>0.4</v>
      </c>
    </row>
    <row r="51" ht="13.5" customHeight="1">
      <c r="B51" s="95" t="s">
        <v>180</v>
      </c>
      <c r="C51" s="294">
        <v>0.2</v>
      </c>
    </row>
    <row r="53" ht="13.5" customHeight="1">
      <c r="B53" s="95" t="s">
        <v>181</v>
      </c>
    </row>
    <row r="54" ht="13.5" customHeight="1">
      <c r="B54" s="95" t="s">
        <v>182</v>
      </c>
      <c r="C54" s="295">
        <v>18000</v>
      </c>
    </row>
    <row r="55" ht="13.5" customHeight="1">
      <c r="B55" s="95" t="s">
        <v>183</v>
      </c>
      <c r="C55" s="294">
        <v>0.03</v>
      </c>
    </row>
    <row r="56" ht="13.5" customHeight="1">
      <c r="B56" s="95" t="s">
        <v>184</v>
      </c>
      <c r="C56" s="295">
        <f>C54*C55</f>
        <v>540</v>
      </c>
    </row>
    <row r="58" ht="13.5" customHeight="1">
      <c r="B58" s="95" t="s">
        <v>185</v>
      </c>
    </row>
    <row r="59" ht="13.5" customHeight="1">
      <c r="B59" s="95" t="s">
        <v>186</v>
      </c>
      <c r="C59" s="294">
        <v>0.7</v>
      </c>
    </row>
    <row r="60" ht="13.5" customHeight="1">
      <c r="B60" s="95" t="s">
        <v>187</v>
      </c>
      <c r="C60" s="294">
        <v>0.2</v>
      </c>
    </row>
    <row r="61" ht="13.5" customHeight="1">
      <c r="B61" s="95" t="s">
        <v>188</v>
      </c>
      <c r="C61" s="294">
        <v>0.1</v>
      </c>
    </row>
    <row r="63" ht="13.5" customHeight="1">
      <c r="B63" s="95" t="s">
        <v>189</v>
      </c>
    </row>
    <row r="64" ht="13.5" customHeight="1">
      <c r="B64" s="95" t="s">
        <v>190</v>
      </c>
      <c r="C64" s="294">
        <v>0.01</v>
      </c>
    </row>
    <row r="65" ht="13.5" customHeight="1">
      <c r="B65" s="95" t="s">
        <v>191</v>
      </c>
      <c r="C65" s="295">
        <f>C54*C64</f>
        <v>180</v>
      </c>
    </row>
  </sheetData>
  <sheetProtection formatColumns="0" formatRows="0"/>
  <mergeCells>
    <mergeCell ref="B38:C38"/>
    <mergeCell ref="B43:C43"/>
    <mergeCell ref="B27:R27"/>
    <mergeCell ref="B15:E15"/>
    <mergeCell ref="B7:E7"/>
    <mergeCell ref="B24:C24"/>
    <mergeCell ref="B25:C25"/>
    <mergeCell ref="B23:D23"/>
  </mergeCells>
  <conditionalFormatting sqref="D29:O34 Q29:R34">
    <cfRule type="expression" dxfId="0" priority="3" text="null">
      <formula>LEN(TRIM(D29))=0</formula>
    </cfRule>
  </conditionalFormatting>
  <printOptions horizontalCentered="1"/>
  <pageMargins left="0.7" right="0.7" top="0.75" bottom="0.75" header="0.3" footer="0.3"/>
  <pageSetup useFirstPageNumber="1" paperSize="1" scale="58" pageOrder="downThenOver" orientation="landscape"/>
  <headerFooter scaleWithDoc="0">
    <oddHeader>&amp;L&amp;C&amp;"Gill Sans MT,Regular"&amp;12Additional Inputs&amp;R</oddHeader>
    <oddFooter>&amp;L&amp;"Gill Sans MT,Regular"&amp;12&amp;F&amp;C&amp;"Gill Sans MT,Regular"&amp;12&amp;A&amp;R&amp;"Gill Sans MT,Regular"&amp;12&amp;D &amp;T</oddFooter>
  </headerFooter>
  <legacyDrawing r:id="rId2"/>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C4ADFE1-B272-6AB8-9F0B-37D001C0D108}" mc:Ignorable="x14ac xr xr2 xr3">
  <sheetPr>
    <tabColor rgb="FFFFC95B"/>
    <pageSetUpPr fitToPage="1"/>
  </sheetPr>
  <dimension ref="A1:GR50000"/>
  <sheetViews>
    <sheetView topLeftCell="A1" zoomScale="158" workbookViewId="0">
      <selection activeCell="G41" sqref="G41"/>
    </sheetView>
  </sheetViews>
  <sheetFormatPr defaultRowHeight="12" defaultColWidth="8.8515625" customHeight="1"/>
  <cols>
    <col min="1" max="1" style="95" width="8.8515625" customWidth="1"/>
    <col min="2" max="2" style="95" width="46.7109375" customWidth="1"/>
    <col min="3" max="13" style="95" width="9.7109375" customWidth="1"/>
    <col min="14" max="14" style="95" width="11.28125" customWidth="1"/>
    <col min="15" max="15" style="95" width="15.28125" customWidth="1"/>
    <col min="16" max="17" style="95" width="8.8515625" customWidth="1"/>
    <col min="18" max="18" style="95" width="14.8515625" customWidth="1"/>
  </cols>
  <sheetData>
    <row r="2" ht="12" customHeight="1">
      <c r="A2" s="296"/>
      <c r="B2" s="93" t="s">
        <v>192</v>
      </c>
      <c r="C2" s="91"/>
      <c r="D2" s="297"/>
    </row>
    <row r="3" ht="18" customHeight="1">
      <c r="A3" s="296"/>
      <c r="B3" s="91"/>
      <c r="C3" s="91"/>
      <c r="D3" s="297"/>
    </row>
    <row r="4" ht="12" customHeight="1">
      <c r="A4" s="296"/>
      <c r="B4" s="298" t="s">
        <v>19</v>
      </c>
      <c r="C4" s="299" t="s">
        <v>20</v>
      </c>
      <c r="D4" s="299"/>
      <c r="N4" s="252"/>
    </row>
    <row r="5" ht="12" customHeight="1">
      <c r="A5" s="296"/>
      <c r="B5" s="95" t="str">
        <f>IF(ISBLANK(Directions!C10),"Owner",Directions!C10)</f>
        <v>Owner</v>
      </c>
      <c r="C5" s="95" t="str">
        <f>IF(ISBLANK(Directions!D10),"Company 1",Directions!D10)</f>
        <v>Company 1</v>
      </c>
      <c r="E5" s="175"/>
      <c r="N5" s="252"/>
    </row>
    <row r="6" ht="12" customHeight="1">
      <c r="A6" s="296"/>
    </row>
    <row r="7" ht="12" customHeight="1">
      <c r="A7" s="296"/>
      <c r="D7" s="191"/>
      <c r="E7" s="191"/>
      <c r="F7" s="191"/>
      <c r="G7" s="191"/>
      <c r="H7" s="191"/>
      <c r="I7" s="191"/>
      <c r="J7" s="191"/>
      <c r="K7" s="191"/>
      <c r="L7" s="191"/>
      <c r="M7" s="191"/>
      <c r="N7" s="191"/>
      <c r="O7" s="191"/>
    </row>
    <row r="8" ht="14.25" customHeight="1">
      <c r="A8" s="296"/>
      <c r="B8" s="300"/>
      <c r="C8" s="96" t="str">
        <f>'2a-PayrollYear1'!F7</f>
        <v>Month 1</v>
      </c>
      <c r="D8" s="96" t="str">
        <f>'2a-PayrollYear1'!G7</f>
        <v>Month 2</v>
      </c>
      <c r="E8" s="96" t="str">
        <f>'2a-PayrollYear1'!H7</f>
        <v>Month 3</v>
      </c>
      <c r="F8" s="96" t="str">
        <f>'2a-PayrollYear1'!I7</f>
        <v>Month 4</v>
      </c>
      <c r="G8" s="96" t="str">
        <f>'2a-PayrollYear1'!J7</f>
        <v>Month 5</v>
      </c>
      <c r="H8" s="96" t="str">
        <f>'2a-PayrollYear1'!K7</f>
        <v>Month 6</v>
      </c>
      <c r="I8" s="96" t="str">
        <f>'2a-PayrollYear1'!L7</f>
        <v>Month 7</v>
      </c>
      <c r="J8" s="96" t="str">
        <f>'2a-PayrollYear1'!M7</f>
        <v>Month 8</v>
      </c>
      <c r="K8" s="96" t="str">
        <f>'2a-PayrollYear1'!N7</f>
        <v>Month 9</v>
      </c>
      <c r="L8" s="96" t="str">
        <f>'2a-PayrollYear1'!O7</f>
        <v>Month 10</v>
      </c>
      <c r="M8" s="96" t="str">
        <f>'2a-PayrollYear1'!P7</f>
        <v>Month 11</v>
      </c>
      <c r="N8" s="96" t="str">
        <f>'2a-PayrollYear1'!Q7</f>
        <v>Month 12</v>
      </c>
      <c r="O8" s="96" t="s">
        <v>83</v>
      </c>
    </row>
    <row r="9" ht="12.75" customHeight="1">
      <c r="A9" s="296"/>
      <c r="B9" s="301" t="s">
        <v>193</v>
      </c>
      <c r="C9" s="302"/>
      <c r="D9" s="302"/>
      <c r="E9" s="302"/>
      <c r="F9" s="302"/>
      <c r="G9" s="302"/>
      <c r="H9" s="302"/>
      <c r="I9" s="302"/>
      <c r="J9" s="302"/>
      <c r="K9" s="302"/>
      <c r="L9" s="302"/>
      <c r="M9" s="302"/>
      <c r="N9" s="302"/>
      <c r="O9" s="303"/>
    </row>
    <row r="10" ht="12" customHeight="1">
      <c r="A10" s="296"/>
      <c r="B10" s="304" t="s">
        <v>194</v>
      </c>
      <c r="C10" s="305"/>
      <c r="D10" s="305"/>
      <c r="E10" s="305"/>
      <c r="F10" s="305"/>
      <c r="G10" s="305"/>
      <c r="H10" s="305"/>
      <c r="I10" s="305"/>
      <c r="J10" s="305"/>
      <c r="K10" s="305"/>
      <c r="L10" s="305"/>
      <c r="M10" s="305"/>
      <c r="N10" s="305"/>
      <c r="O10" s="109">
        <f t="shared" si="0" ref="O10:O38">SUM(C10:N10)</f>
        <v>0</v>
      </c>
    </row>
    <row r="11" ht="12" customHeight="1">
      <c r="A11" s="296"/>
      <c r="B11" s="304" t="s">
        <v>195</v>
      </c>
      <c r="C11" s="305"/>
      <c r="D11" s="305"/>
      <c r="E11" s="305"/>
      <c r="F11" s="305"/>
      <c r="G11" s="305"/>
      <c r="H11" s="305"/>
      <c r="I11" s="305"/>
      <c r="J11" s="305"/>
      <c r="K11" s="305"/>
      <c r="L11" s="305"/>
      <c r="M11" s="305"/>
      <c r="N11" s="305"/>
      <c r="O11" s="109">
        <f t="shared" si="0"/>
        <v>0</v>
      </c>
    </row>
    <row r="12" ht="13.5" customHeight="1">
      <c r="A12" s="296"/>
      <c r="B12" s="304" t="s">
        <v>196</v>
      </c>
      <c r="C12" s="306">
        <v>3240</v>
      </c>
      <c r="D12" s="306">
        <v>3240</v>
      </c>
      <c r="E12" s="306">
        <v>3240</v>
      </c>
      <c r="F12" s="306">
        <v>6300</v>
      </c>
      <c r="G12" s="306">
        <v>6300</v>
      </c>
      <c r="H12" s="306">
        <v>6300</v>
      </c>
      <c r="I12" s="306">
        <v>9540</v>
      </c>
      <c r="J12" s="306">
        <v>9540</v>
      </c>
      <c r="K12" s="306">
        <v>12600</v>
      </c>
      <c r="L12" s="306">
        <v>12600</v>
      </c>
      <c r="M12" s="306">
        <v>15840</v>
      </c>
      <c r="N12" s="306">
        <v>19080</v>
      </c>
      <c r="O12" s="109">
        <f t="shared" si="0"/>
        <v>107820</v>
      </c>
    </row>
    <row r="13" ht="12" customHeight="1">
      <c r="A13" s="296"/>
      <c r="B13" s="304" t="s">
        <v>197</v>
      </c>
      <c r="C13" s="305"/>
      <c r="D13" s="305"/>
      <c r="E13" s="305"/>
      <c r="F13" s="305"/>
      <c r="G13" s="305"/>
      <c r="H13" s="305"/>
      <c r="I13" s="305"/>
      <c r="J13" s="305"/>
      <c r="K13" s="305"/>
      <c r="L13" s="305"/>
      <c r="M13" s="305"/>
      <c r="N13" s="305"/>
      <c r="O13" s="109">
        <f t="shared" si="0"/>
        <v>0</v>
      </c>
    </row>
    <row r="14" ht="12" customHeight="1">
      <c r="A14" s="296"/>
      <c r="B14" s="304" t="s">
        <v>198</v>
      </c>
      <c r="C14" s="305"/>
      <c r="D14" s="305"/>
      <c r="E14" s="305"/>
      <c r="F14" s="305"/>
      <c r="G14" s="305"/>
      <c r="H14" s="305"/>
      <c r="I14" s="305"/>
      <c r="J14" s="305"/>
      <c r="K14" s="305"/>
      <c r="L14" s="305"/>
      <c r="M14" s="305"/>
      <c r="N14" s="305"/>
      <c r="O14" s="109">
        <f t="shared" si="0"/>
        <v>0</v>
      </c>
    </row>
    <row r="15" ht="13.5" customHeight="1">
      <c r="A15" s="296"/>
      <c r="B15" s="304" t="s">
        <v>199</v>
      </c>
      <c r="C15" s="306">
        <v>2000</v>
      </c>
      <c r="D15" s="305"/>
      <c r="E15" s="305"/>
      <c r="F15" s="305"/>
      <c r="G15" s="305"/>
      <c r="H15" s="305"/>
      <c r="I15" s="305"/>
      <c r="J15" s="305"/>
      <c r="K15" s="305"/>
      <c r="L15" s="305"/>
      <c r="M15" s="305"/>
      <c r="N15" s="305"/>
      <c r="O15" s="109">
        <f t="shared" si="0"/>
        <v>2000</v>
      </c>
    </row>
    <row r="16" ht="12" customHeight="1">
      <c r="A16" s="296"/>
      <c r="B16" s="304" t="s">
        <v>45</v>
      </c>
      <c r="C16" s="305"/>
      <c r="D16" s="305"/>
      <c r="E16" s="305"/>
      <c r="F16" s="305"/>
      <c r="G16" s="305"/>
      <c r="H16" s="305"/>
      <c r="I16" s="305"/>
      <c r="J16" s="305"/>
      <c r="K16" s="305"/>
      <c r="L16" s="305"/>
      <c r="M16" s="305"/>
      <c r="N16" s="305"/>
      <c r="O16" s="109">
        <f t="shared" si="0"/>
        <v>0</v>
      </c>
    </row>
    <row r="17" ht="13.5" customHeight="1">
      <c r="A17" s="296"/>
      <c r="B17" s="304" t="s">
        <v>200</v>
      </c>
      <c r="C17" s="306">
        <v>1000</v>
      </c>
      <c r="D17" s="306">
        <v>1000</v>
      </c>
      <c r="E17" s="306">
        <v>1000</v>
      </c>
      <c r="F17" s="306">
        <v>1000</v>
      </c>
      <c r="G17" s="306">
        <v>1000</v>
      </c>
      <c r="H17" s="306">
        <v>1000</v>
      </c>
      <c r="I17" s="306">
        <v>1000</v>
      </c>
      <c r="J17" s="306">
        <v>1000</v>
      </c>
      <c r="K17" s="306">
        <v>1000</v>
      </c>
      <c r="L17" s="306">
        <v>1000</v>
      </c>
      <c r="M17" s="306">
        <v>1000</v>
      </c>
      <c r="N17" s="306">
        <v>1000</v>
      </c>
      <c r="O17" s="109">
        <f t="shared" si="0"/>
        <v>12000</v>
      </c>
    </row>
    <row r="18" ht="12" customHeight="1">
      <c r="A18" s="296"/>
      <c r="B18" s="304" t="s">
        <v>201</v>
      </c>
      <c r="C18" s="305"/>
      <c r="D18" s="305"/>
      <c r="E18" s="305"/>
      <c r="F18" s="305"/>
      <c r="G18" s="305"/>
      <c r="H18" s="305"/>
      <c r="I18" s="305"/>
      <c r="J18" s="305"/>
      <c r="K18" s="305"/>
      <c r="L18" s="305"/>
      <c r="M18" s="305"/>
      <c r="N18" s="305"/>
      <c r="O18" s="109">
        <f t="shared" si="0"/>
        <v>0</v>
      </c>
    </row>
    <row r="19" ht="12" customHeight="1">
      <c r="A19" s="296"/>
      <c r="B19" s="304" t="s">
        <v>202</v>
      </c>
      <c r="C19" s="305"/>
      <c r="D19" s="305"/>
      <c r="E19" s="305"/>
      <c r="F19" s="305"/>
      <c r="G19" s="305"/>
      <c r="H19" s="305"/>
      <c r="I19" s="305"/>
      <c r="J19" s="305"/>
      <c r="K19" s="305"/>
      <c r="L19" s="305"/>
      <c r="M19" s="305"/>
      <c r="N19" s="305"/>
      <c r="O19" s="109">
        <f t="shared" si="0"/>
        <v>0</v>
      </c>
    </row>
    <row r="20" ht="12" customHeight="1">
      <c r="A20" s="296"/>
      <c r="B20" s="304" t="s">
        <v>203</v>
      </c>
      <c r="C20" s="305"/>
      <c r="D20" s="305"/>
      <c r="E20" s="305"/>
      <c r="F20" s="305"/>
      <c r="G20" s="305"/>
      <c r="H20" s="305"/>
      <c r="I20" s="305"/>
      <c r="J20" s="305"/>
      <c r="K20" s="305"/>
      <c r="L20" s="305"/>
      <c r="M20" s="305"/>
      <c r="N20" s="305"/>
      <c r="O20" s="109">
        <f t="shared" si="0"/>
        <v>0</v>
      </c>
    </row>
    <row r="21" ht="12" customHeight="1">
      <c r="A21" s="296"/>
      <c r="B21" s="304" t="s">
        <v>43</v>
      </c>
      <c r="C21" s="305"/>
      <c r="D21" s="305"/>
      <c r="E21" s="305"/>
      <c r="F21" s="305"/>
      <c r="G21" s="305"/>
      <c r="H21" s="305"/>
      <c r="I21" s="305"/>
      <c r="J21" s="305"/>
      <c r="K21" s="305"/>
      <c r="L21" s="305"/>
      <c r="M21" s="305"/>
      <c r="N21" s="305"/>
      <c r="O21" s="109">
        <f t="shared" si="0"/>
        <v>0</v>
      </c>
    </row>
    <row r="22" ht="12" customHeight="1">
      <c r="A22" s="296"/>
      <c r="B22" s="304" t="s">
        <v>204</v>
      </c>
      <c r="C22" s="305"/>
      <c r="D22" s="305"/>
      <c r="E22" s="305"/>
      <c r="F22" s="305"/>
      <c r="G22" s="305"/>
      <c r="H22" s="305"/>
      <c r="I22" s="305"/>
      <c r="J22" s="305"/>
      <c r="K22" s="305"/>
      <c r="L22" s="305"/>
      <c r="M22" s="305"/>
      <c r="N22" s="305"/>
      <c r="O22" s="109">
        <f t="shared" si="0"/>
        <v>0</v>
      </c>
    </row>
    <row r="23" ht="12" customHeight="1">
      <c r="A23" s="296"/>
      <c r="B23" s="304" t="s">
        <v>205</v>
      </c>
      <c r="C23" s="305"/>
      <c r="D23" s="305"/>
      <c r="E23" s="305"/>
      <c r="F23" s="305"/>
      <c r="G23" s="305"/>
      <c r="H23" s="305"/>
      <c r="I23" s="305"/>
      <c r="J23" s="305"/>
      <c r="K23" s="305"/>
      <c r="L23" s="305"/>
      <c r="M23" s="305"/>
      <c r="N23" s="305"/>
      <c r="O23" s="109">
        <f t="shared" si="0"/>
        <v>0</v>
      </c>
    </row>
    <row r="24" ht="12" customHeight="1">
      <c r="A24" s="296"/>
      <c r="B24" s="304" t="s">
        <v>206</v>
      </c>
      <c r="C24" s="305"/>
      <c r="D24" s="305"/>
      <c r="E24" s="305"/>
      <c r="F24" s="305"/>
      <c r="G24" s="305"/>
      <c r="H24" s="305"/>
      <c r="I24" s="305"/>
      <c r="J24" s="305"/>
      <c r="K24" s="305"/>
      <c r="L24" s="305"/>
      <c r="M24" s="305"/>
      <c r="N24" s="305"/>
      <c r="O24" s="109">
        <f t="shared" si="0"/>
        <v>0</v>
      </c>
    </row>
    <row r="25" ht="13.5" customHeight="1">
      <c r="A25" s="296"/>
      <c r="B25" s="114" t="s">
        <v>207</v>
      </c>
      <c r="C25" s="109">
        <f t="shared" si="1" ref="C25:N25">SUM(C10:C24)</f>
        <v>6240</v>
      </c>
      <c r="D25" s="109">
        <f t="shared" si="1"/>
        <v>4240</v>
      </c>
      <c r="E25" s="109">
        <f t="shared" si="1"/>
        <v>4240</v>
      </c>
      <c r="F25" s="109">
        <f t="shared" si="1"/>
        <v>7300</v>
      </c>
      <c r="G25" s="109">
        <f t="shared" si="1"/>
        <v>7300</v>
      </c>
      <c r="H25" s="109">
        <f t="shared" si="1"/>
        <v>7300</v>
      </c>
      <c r="I25" s="109">
        <f t="shared" si="1"/>
        <v>10540</v>
      </c>
      <c r="J25" s="109">
        <f t="shared" si="1"/>
        <v>10540</v>
      </c>
      <c r="K25" s="109">
        <f t="shared" si="1"/>
        <v>13600</v>
      </c>
      <c r="L25" s="109">
        <f t="shared" si="1"/>
        <v>13600</v>
      </c>
      <c r="M25" s="109">
        <f t="shared" si="1"/>
        <v>16840</v>
      </c>
      <c r="N25" s="109">
        <f t="shared" si="1"/>
        <v>20080</v>
      </c>
      <c r="O25" s="109">
        <f t="shared" si="0"/>
        <v>121820</v>
      </c>
    </row>
    <row r="26" ht="12" customHeight="1">
      <c r="A26" s="296"/>
      <c r="B26" s="114"/>
      <c r="C26" s="135"/>
      <c r="D26" s="135"/>
      <c r="E26" s="135"/>
      <c r="F26" s="135"/>
      <c r="G26" s="135"/>
      <c r="H26" s="135"/>
      <c r="I26" s="135"/>
      <c r="J26" s="135"/>
      <c r="K26" s="135"/>
      <c r="L26" s="135"/>
      <c r="M26" s="135"/>
      <c r="N26" s="135"/>
      <c r="O26" s="135"/>
    </row>
    <row r="27" ht="12" customHeight="1">
      <c r="A27" s="296"/>
      <c r="B27" s="307" t="s">
        <v>208</v>
      </c>
      <c r="C27" s="262"/>
      <c r="D27" s="262"/>
      <c r="E27" s="262"/>
      <c r="F27" s="262"/>
      <c r="G27" s="262"/>
      <c r="H27" s="262"/>
      <c r="I27" s="262"/>
      <c r="J27" s="262"/>
      <c r="K27" s="262"/>
      <c r="L27" s="262"/>
      <c r="M27" s="262"/>
      <c r="N27" s="262"/>
      <c r="O27" s="105"/>
    </row>
    <row r="28" ht="12" customHeight="1">
      <c r="B28" s="308" t="s">
        <v>209</v>
      </c>
      <c r="C28" s="309">
        <f>'Amortization&amp;Depreciation'!C119</f>
        <v>0</v>
      </c>
      <c r="D28" s="309">
        <f>'Amortization&amp;Depreciation'!D119</f>
        <v>0</v>
      </c>
      <c r="E28" s="309">
        <f>'Amortization&amp;Depreciation'!E119</f>
        <v>0</v>
      </c>
      <c r="F28" s="309">
        <f>'Amortization&amp;Depreciation'!F119</f>
        <v>0</v>
      </c>
      <c r="G28" s="309">
        <f>'Amortization&amp;Depreciation'!G119</f>
        <v>0</v>
      </c>
      <c r="H28" s="309">
        <f>'Amortization&amp;Depreciation'!H119</f>
        <v>0</v>
      </c>
      <c r="I28" s="309">
        <f>'Amortization&amp;Depreciation'!I119</f>
        <v>0</v>
      </c>
      <c r="J28" s="309">
        <f>'Amortization&amp;Depreciation'!J119</f>
        <v>0</v>
      </c>
      <c r="K28" s="309">
        <f>'Amortization&amp;Depreciation'!K119</f>
        <v>0</v>
      </c>
      <c r="L28" s="309">
        <f>'Amortization&amp;Depreciation'!L119</f>
        <v>0</v>
      </c>
      <c r="M28" s="309">
        <f>'Amortization&amp;Depreciation'!M119</f>
        <v>0</v>
      </c>
      <c r="N28" s="309">
        <f>'Amortization&amp;Depreciation'!N119</f>
        <v>0</v>
      </c>
      <c r="O28" s="109">
        <f t="shared" si="0"/>
        <v>0</v>
      </c>
    </row>
    <row r="29" ht="12" customHeight="1">
      <c r="B29" s="308" t="s">
        <v>210</v>
      </c>
      <c r="C29" s="262"/>
      <c r="D29" s="262"/>
      <c r="E29" s="262"/>
      <c r="F29" s="262"/>
      <c r="G29" s="262"/>
      <c r="H29" s="262"/>
      <c r="I29" s="262"/>
      <c r="J29" s="262"/>
      <c r="K29" s="262"/>
      <c r="L29" s="262"/>
      <c r="M29" s="262"/>
      <c r="N29" s="262"/>
      <c r="O29" s="105"/>
    </row>
    <row r="30" ht="12" customHeight="1">
      <c r="B30" s="310" t="str">
        <f>'1-StartingPoint'!B37</f>
        <v>Commercial Loan</v>
      </c>
      <c r="C30" s="309">
        <f>'Amortization&amp;Depreciation'!C15</f>
        <v>0</v>
      </c>
      <c r="D30" s="309">
        <f>'Amortization&amp;Depreciation'!D15</f>
        <v>0</v>
      </c>
      <c r="E30" s="309">
        <f>'Amortization&amp;Depreciation'!E15</f>
        <v>0</v>
      </c>
      <c r="F30" s="309">
        <f>'Amortization&amp;Depreciation'!F15</f>
        <v>0</v>
      </c>
      <c r="G30" s="309">
        <f>'Amortization&amp;Depreciation'!G15</f>
        <v>0</v>
      </c>
      <c r="H30" s="309">
        <f>'Amortization&amp;Depreciation'!H15</f>
        <v>0</v>
      </c>
      <c r="I30" s="309">
        <f>'Amortization&amp;Depreciation'!I15</f>
        <v>0</v>
      </c>
      <c r="J30" s="309">
        <f>'Amortization&amp;Depreciation'!J15</f>
        <v>0</v>
      </c>
      <c r="K30" s="309">
        <f>'Amortization&amp;Depreciation'!K15</f>
        <v>0</v>
      </c>
      <c r="L30" s="309">
        <f>'Amortization&amp;Depreciation'!L15</f>
        <v>0</v>
      </c>
      <c r="M30" s="309">
        <f>'Amortization&amp;Depreciation'!M15</f>
        <v>0</v>
      </c>
      <c r="N30" s="309">
        <f>'Amortization&amp;Depreciation'!N15</f>
        <v>0</v>
      </c>
      <c r="O30" s="109">
        <f t="shared" si="0"/>
        <v>0</v>
      </c>
    </row>
    <row r="31" ht="12" customHeight="1">
      <c r="B31" s="310" t="str">
        <f>'1-StartingPoint'!B38</f>
        <v>Commercial Mortgage</v>
      </c>
      <c r="C31" s="309">
        <f>'Amortization&amp;Depreciation'!C35</f>
        <v>0</v>
      </c>
      <c r="D31" s="309">
        <f>'Amortization&amp;Depreciation'!D35</f>
        <v>0</v>
      </c>
      <c r="E31" s="309">
        <f>'Amortization&amp;Depreciation'!E35</f>
        <v>0</v>
      </c>
      <c r="F31" s="309">
        <f>'Amortization&amp;Depreciation'!F35</f>
        <v>0</v>
      </c>
      <c r="G31" s="309">
        <f>'Amortization&amp;Depreciation'!G35</f>
        <v>0</v>
      </c>
      <c r="H31" s="309">
        <f>'Amortization&amp;Depreciation'!H35</f>
        <v>0</v>
      </c>
      <c r="I31" s="309">
        <f>'Amortization&amp;Depreciation'!I35</f>
        <v>0</v>
      </c>
      <c r="J31" s="309">
        <f>'Amortization&amp;Depreciation'!J35</f>
        <v>0</v>
      </c>
      <c r="K31" s="309">
        <f>'Amortization&amp;Depreciation'!K35</f>
        <v>0</v>
      </c>
      <c r="L31" s="309">
        <f>'Amortization&amp;Depreciation'!L35</f>
        <v>0</v>
      </c>
      <c r="M31" s="309">
        <f>'Amortization&amp;Depreciation'!M35</f>
        <v>0</v>
      </c>
      <c r="N31" s="309">
        <f>'Amortization&amp;Depreciation'!N35</f>
        <v>0</v>
      </c>
      <c r="O31" s="109">
        <f t="shared" si="0"/>
        <v>0</v>
      </c>
    </row>
    <row r="32" ht="12" customHeight="1">
      <c r="B32" s="310" t="str">
        <f>'1-StartingPoint'!B39</f>
        <v>Credit Card Debt</v>
      </c>
      <c r="C32" s="309">
        <f>'Amortization&amp;Depreciation'!C55</f>
        <v>0</v>
      </c>
      <c r="D32" s="309">
        <f>'Amortization&amp;Depreciation'!D55</f>
        <v>0</v>
      </c>
      <c r="E32" s="309">
        <f>'Amortization&amp;Depreciation'!E55</f>
        <v>0</v>
      </c>
      <c r="F32" s="309">
        <f>'Amortization&amp;Depreciation'!F55</f>
        <v>0</v>
      </c>
      <c r="G32" s="309">
        <f>'Amortization&amp;Depreciation'!G55</f>
        <v>0</v>
      </c>
      <c r="H32" s="309">
        <f>'Amortization&amp;Depreciation'!H55</f>
        <v>0</v>
      </c>
      <c r="I32" s="309">
        <f>'Amortization&amp;Depreciation'!I55</f>
        <v>0</v>
      </c>
      <c r="J32" s="309">
        <f>'Amortization&amp;Depreciation'!J55</f>
        <v>0</v>
      </c>
      <c r="K32" s="309">
        <f>'Amortization&amp;Depreciation'!K55</f>
        <v>0</v>
      </c>
      <c r="L32" s="309">
        <f>'Amortization&amp;Depreciation'!L55</f>
        <v>0</v>
      </c>
      <c r="M32" s="309">
        <f>'Amortization&amp;Depreciation'!M55</f>
        <v>0</v>
      </c>
      <c r="N32" s="309">
        <f>'Amortization&amp;Depreciation'!N55</f>
        <v>0</v>
      </c>
      <c r="O32" s="109">
        <f t="shared" si="0"/>
        <v>0</v>
      </c>
    </row>
    <row r="33" ht="12" customHeight="1">
      <c r="B33" s="310" t="str">
        <f>'1-StartingPoint'!B40</f>
        <v>Vehicle Loans</v>
      </c>
      <c r="C33" s="309">
        <f>'Amortization&amp;Depreciation'!C75</f>
        <v>0</v>
      </c>
      <c r="D33" s="309">
        <f>'Amortization&amp;Depreciation'!D75</f>
        <v>0</v>
      </c>
      <c r="E33" s="309">
        <f>'Amortization&amp;Depreciation'!E75</f>
        <v>0</v>
      </c>
      <c r="F33" s="309">
        <f>'Amortization&amp;Depreciation'!F75</f>
        <v>0</v>
      </c>
      <c r="G33" s="309">
        <f>'Amortization&amp;Depreciation'!G75</f>
        <v>0</v>
      </c>
      <c r="H33" s="309">
        <f>'Amortization&amp;Depreciation'!H75</f>
        <v>0</v>
      </c>
      <c r="I33" s="309">
        <f>'Amortization&amp;Depreciation'!I75</f>
        <v>0</v>
      </c>
      <c r="J33" s="309">
        <f>'Amortization&amp;Depreciation'!J75</f>
        <v>0</v>
      </c>
      <c r="K33" s="309">
        <f>'Amortization&amp;Depreciation'!K75</f>
        <v>0</v>
      </c>
      <c r="L33" s="309">
        <f>'Amortization&amp;Depreciation'!L75</f>
        <v>0</v>
      </c>
      <c r="M33" s="309">
        <f>'Amortization&amp;Depreciation'!M75</f>
        <v>0</v>
      </c>
      <c r="N33" s="309">
        <f>'Amortization&amp;Depreciation'!N75</f>
        <v>0</v>
      </c>
      <c r="O33" s="109">
        <f t="shared" si="0"/>
        <v>0</v>
      </c>
    </row>
    <row r="34" ht="12" customHeight="1">
      <c r="B34" s="310" t="str">
        <f>'1-StartingPoint'!B41</f>
        <v>Other Bank Debt</v>
      </c>
      <c r="C34" s="309">
        <f>'Amortization&amp;Depreciation'!C95</f>
        <v>0</v>
      </c>
      <c r="D34" s="309">
        <f>'Amortization&amp;Depreciation'!D95</f>
        <v>0</v>
      </c>
      <c r="E34" s="309">
        <f>'Amortization&amp;Depreciation'!E95</f>
        <v>0</v>
      </c>
      <c r="F34" s="309">
        <f>'Amortization&amp;Depreciation'!F95</f>
        <v>0</v>
      </c>
      <c r="G34" s="309">
        <f>'Amortization&amp;Depreciation'!G95</f>
        <v>0</v>
      </c>
      <c r="H34" s="309">
        <f>'Amortization&amp;Depreciation'!H95</f>
        <v>0</v>
      </c>
      <c r="I34" s="309">
        <f>'Amortization&amp;Depreciation'!I95</f>
        <v>0</v>
      </c>
      <c r="J34" s="309">
        <f>'Amortization&amp;Depreciation'!J95</f>
        <v>0</v>
      </c>
      <c r="K34" s="309">
        <f>'Amortization&amp;Depreciation'!K95</f>
        <v>0</v>
      </c>
      <c r="L34" s="309">
        <f>'Amortization&amp;Depreciation'!L95</f>
        <v>0</v>
      </c>
      <c r="M34" s="309">
        <f>'Amortization&amp;Depreciation'!M95</f>
        <v>0</v>
      </c>
      <c r="N34" s="309">
        <f>'Amortization&amp;Depreciation'!N95</f>
        <v>0</v>
      </c>
      <c r="O34" s="109">
        <f t="shared" si="0"/>
        <v>0</v>
      </c>
    </row>
    <row r="35" ht="12" customHeight="1">
      <c r="B35" s="310" t="s">
        <v>211</v>
      </c>
      <c r="C35" s="309">
        <f>'6a-CashFlowYear1'!C26</f>
        <v>0</v>
      </c>
      <c r="D35" s="309">
        <f>'6a-CashFlowYear1'!D26</f>
        <v>0</v>
      </c>
      <c r="E35" s="309">
        <f>'6a-CashFlowYear1'!E26</f>
        <v>0</v>
      </c>
      <c r="F35" s="309">
        <f>'6a-CashFlowYear1'!F26</f>
        <v>0</v>
      </c>
      <c r="G35" s="309">
        <f>'6a-CashFlowYear1'!G26</f>
        <v>0</v>
      </c>
      <c r="H35" s="309">
        <f>'6a-CashFlowYear1'!H26</f>
        <v>0</v>
      </c>
      <c r="I35" s="309">
        <f>'6a-CashFlowYear1'!I26</f>
        <v>0</v>
      </c>
      <c r="J35" s="309">
        <f>'6a-CashFlowYear1'!J26</f>
        <v>0</v>
      </c>
      <c r="K35" s="309">
        <f>'6a-CashFlowYear1'!K26</f>
        <v>0</v>
      </c>
      <c r="L35" s="309">
        <f>'6a-CashFlowYear1'!L26</f>
        <v>0</v>
      </c>
      <c r="M35" s="309">
        <f>'6a-CashFlowYear1'!M26</f>
        <v>0</v>
      </c>
      <c r="N35" s="309">
        <f>'6a-CashFlowYear1'!N26</f>
        <v>0</v>
      </c>
      <c r="O35" s="109">
        <f t="shared" si="0"/>
        <v>0</v>
      </c>
    </row>
    <row r="36" ht="12" customHeight="1">
      <c r="B36" s="308" t="s">
        <v>212</v>
      </c>
      <c r="C36" s="309">
        <f>+'7a-IncomeStatementYear1'!C56</f>
        <v>0</v>
      </c>
      <c r="D36" s="309">
        <f>+'7a-IncomeStatementYear1'!D56</f>
        <v>0</v>
      </c>
      <c r="E36" s="309">
        <f>+'7a-IncomeStatementYear1'!E56</f>
        <v>0</v>
      </c>
      <c r="F36" s="309">
        <f>+'7a-IncomeStatementYear1'!F56</f>
        <v>0</v>
      </c>
      <c r="G36" s="309">
        <f>+'7a-IncomeStatementYear1'!G56</f>
        <v>0</v>
      </c>
      <c r="H36" s="309">
        <f>+'7a-IncomeStatementYear1'!H56</f>
        <v>0</v>
      </c>
      <c r="I36" s="309">
        <f>+'7a-IncomeStatementYear1'!I56</f>
        <v>0</v>
      </c>
      <c r="J36" s="309">
        <f>+'7a-IncomeStatementYear1'!J56</f>
        <v>0</v>
      </c>
      <c r="K36" s="309">
        <f>+'7a-IncomeStatementYear1'!K56</f>
        <v>0</v>
      </c>
      <c r="L36" s="309">
        <f>+'7a-IncomeStatementYear1'!L56</f>
        <v>0</v>
      </c>
      <c r="M36" s="309">
        <f>+'7a-IncomeStatementYear1'!M56</f>
        <v>0</v>
      </c>
      <c r="N36" s="309">
        <f>+'7a-IncomeStatementYear1'!N56</f>
        <v>0</v>
      </c>
      <c r="O36" s="109">
        <f t="shared" si="0"/>
        <v>0</v>
      </c>
    </row>
    <row r="37" ht="12" customHeight="1">
      <c r="B37" s="307" t="s">
        <v>213</v>
      </c>
      <c r="C37" s="274">
        <f t="shared" si="2" ref="C37:N37">SUM(C28:C36)</f>
        <v>0</v>
      </c>
      <c r="D37" s="274">
        <f t="shared" si="2"/>
        <v>0</v>
      </c>
      <c r="E37" s="274">
        <f t="shared" si="2"/>
        <v>0</v>
      </c>
      <c r="F37" s="274">
        <f t="shared" si="2"/>
        <v>0</v>
      </c>
      <c r="G37" s="274">
        <f t="shared" si="2"/>
        <v>0</v>
      </c>
      <c r="H37" s="274">
        <f t="shared" si="2"/>
        <v>0</v>
      </c>
      <c r="I37" s="274">
        <f t="shared" si="2"/>
        <v>0</v>
      </c>
      <c r="J37" s="274">
        <f t="shared" si="2"/>
        <v>0</v>
      </c>
      <c r="K37" s="274">
        <f t="shared" si="2"/>
        <v>0</v>
      </c>
      <c r="L37" s="274">
        <f t="shared" si="2"/>
        <v>0</v>
      </c>
      <c r="M37" s="274">
        <f t="shared" si="2"/>
        <v>0</v>
      </c>
      <c r="N37" s="274">
        <f t="shared" si="2"/>
        <v>0</v>
      </c>
      <c r="O37" s="109">
        <f t="shared" si="0"/>
        <v>0</v>
      </c>
    </row>
    <row r="38" ht="13.5" customHeight="1">
      <c r="B38" s="105" t="s">
        <v>214</v>
      </c>
      <c r="C38" s="135">
        <f t="shared" si="3" ref="C38:N38">C25+C37</f>
        <v>6240</v>
      </c>
      <c r="D38" s="135">
        <f t="shared" si="3"/>
        <v>4240</v>
      </c>
      <c r="E38" s="135">
        <f t="shared" si="3"/>
        <v>4240</v>
      </c>
      <c r="F38" s="135">
        <f t="shared" si="3"/>
        <v>7300</v>
      </c>
      <c r="G38" s="135">
        <f t="shared" si="3"/>
        <v>7300</v>
      </c>
      <c r="H38" s="135">
        <f t="shared" si="3"/>
        <v>7300</v>
      </c>
      <c r="I38" s="135">
        <f t="shared" si="3"/>
        <v>10540</v>
      </c>
      <c r="J38" s="135">
        <f t="shared" si="3"/>
        <v>10540</v>
      </c>
      <c r="K38" s="135">
        <f t="shared" si="3"/>
        <v>13600</v>
      </c>
      <c r="L38" s="135">
        <f t="shared" si="3"/>
        <v>13600</v>
      </c>
      <c r="M38" s="135">
        <f t="shared" si="3"/>
        <v>16840</v>
      </c>
      <c r="N38" s="135">
        <f t="shared" si="3"/>
        <v>20080</v>
      </c>
      <c r="O38" s="135">
        <f t="shared" si="0"/>
        <v>121820</v>
      </c>
      <c r="R38" s="311"/>
    </row>
  </sheetData>
  <sheetProtection sheet="1" objects="1" formatColumns="0" formatRows="0" password="CC3D"/>
  <mergeCells>
    <mergeCell ref="D7:O7"/>
    <mergeCell ref="C4:D4"/>
  </mergeCells>
  <conditionalFormatting sqref="C10:N24">
    <cfRule type="expression" dxfId="0" priority="2" text="null">
      <formula>LEN(TRIM(C10))=0</formula>
    </cfRule>
  </conditionalFormatting>
  <printOptions/>
  <pageMargins left="0.25" right="0.25" top="0.75" bottom="0.75" header="0.3" footer="0.3"/>
  <pageSetup useFirstPageNumber="1" paperSize="1" scale="74" pageOrder="downThenOver" orientation="landscape"/>
  <headerFooter scaleWithDoc="0">
    <oddHeader>&amp;L&amp;C&amp;"Gill Sans MT,Regular"&amp;12Operating Expenses Year 1&amp;R</oddHeader>
    <oddFooter>&amp;L&amp;"Gill Sans MT,Regular"&amp;12&amp;F&amp;C&amp;"Gill Sans MT,Regular"&amp;12&amp;A&amp;R&amp;"Gill Sans MT,Regular"&amp;12&amp;D &amp;T</oddFooter>
  </headerFooter>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0252D83-D328-F219-C2E8-8CCE847707FB}" mc:Ignorable="x14ac xr xr2 xr3">
  <sheetPr>
    <tabColor rgb="FFFFC95B"/>
  </sheetPr>
  <dimension ref="A1:GR50000"/>
  <sheetViews>
    <sheetView topLeftCell="A1" workbookViewId="0">
      <selection activeCell="D8" sqref="D8"/>
    </sheetView>
  </sheetViews>
  <sheetFormatPr defaultRowHeight="12" defaultColWidth="8.8515625" customHeight="1"/>
  <cols>
    <col min="1" max="1" style="95" width="6.8515625" customWidth="1"/>
    <col min="2" max="2" style="95" width="46.7109375" customWidth="1"/>
    <col min="3" max="3" style="95" width="15.7109375" customWidth="1"/>
    <col min="4" max="4" style="95" width="19.00390625" customWidth="1"/>
    <col min="5" max="5" style="95" width="15.7109375" customWidth="1"/>
    <col min="6" max="6" style="95" width="19.28125" customWidth="1"/>
    <col min="7" max="7" style="95" width="15.7109375" customWidth="1"/>
    <col min="8" max="8" style="95" width="5.28125" customWidth="1"/>
    <col min="9" max="13" style="95" width="8.8515625" customWidth="1"/>
  </cols>
  <sheetData>
    <row r="2" ht="17.25" customHeight="1">
      <c r="B2" s="173" t="s">
        <v>215</v>
      </c>
      <c r="C2" s="173"/>
      <c r="F2" s="252"/>
      <c r="G2" s="252"/>
    </row>
    <row r="3" ht="18" customHeight="1">
      <c r="B3" s="312"/>
      <c r="C3" s="312"/>
      <c r="F3" s="252"/>
      <c r="G3" s="252"/>
    </row>
    <row r="4" ht="18" customHeight="1">
      <c r="B4" s="173" t="s">
        <v>19</v>
      </c>
      <c r="C4" s="173" t="s">
        <v>20</v>
      </c>
      <c r="D4" s="142"/>
      <c r="E4" s="142"/>
      <c r="F4" s="142"/>
      <c r="G4" s="252"/>
    </row>
    <row r="5" ht="12" customHeight="1">
      <c r="B5" s="142" t="str">
        <f>IF(ISBLANK(Directions!C10),"Owner",Directions!C10)</f>
        <v>Owner</v>
      </c>
      <c r="C5" s="142" t="str">
        <f>IF(ISBLANK(Directions!D10),"Company 1",Directions!D10)</f>
        <v>Company 1</v>
      </c>
      <c r="D5" s="142"/>
      <c r="E5" s="142"/>
      <c r="F5" s="142"/>
      <c r="G5" s="313"/>
      <c r="I5" s="182"/>
      <c r="J5" s="182"/>
      <c r="K5" s="182"/>
      <c r="L5" s="182"/>
      <c r="M5" s="182"/>
    </row>
    <row r="6" ht="12" customHeight="1">
      <c r="I6" s="182"/>
      <c r="J6" s="182"/>
      <c r="K6" s="182"/>
      <c r="L6" s="182"/>
      <c r="M6" s="182"/>
    </row>
    <row r="7" ht="17.25" customHeight="1">
      <c r="B7" s="96" t="s">
        <v>216</v>
      </c>
      <c r="C7" s="96" t="str">
        <f>IF(Directions!F10&gt;0,Directions!F10,"First Year")</f>
        <v>First Year</v>
      </c>
      <c r="D7" s="96" t="s">
        <v>107</v>
      </c>
      <c r="E7" s="96" t="str">
        <f>IF(Directions!F10&gt;0,Directions!F10+1,"Second Year")</f>
        <v>Second Year</v>
      </c>
      <c r="F7" s="96" t="s">
        <v>109</v>
      </c>
      <c r="G7" s="96" t="str">
        <f>IF(Directions!F10&gt;0,Directions!F10+2,"Third Year")</f>
        <v>Third Year</v>
      </c>
      <c r="I7" s="182"/>
      <c r="J7" s="182"/>
      <c r="K7" s="182"/>
      <c r="L7" s="182"/>
      <c r="M7" s="182"/>
    </row>
    <row r="8" ht="12.75" customHeight="1">
      <c r="B8" s="314" t="str">
        <f>'5a-OpExYear1'!B10</f>
        <v>Advertising</v>
      </c>
      <c r="C8" s="148">
        <f>'5a-OpExYear1'!O10</f>
        <v>0</v>
      </c>
      <c r="D8" s="147">
        <v>0.03</v>
      </c>
      <c r="E8" s="148">
        <f t="shared" si="0" ref="E8:G22">C8*(1+D8)</f>
        <v>0</v>
      </c>
      <c r="F8" s="147">
        <v>0.03</v>
      </c>
      <c r="G8" s="148">
        <f t="shared" si="0"/>
        <v>0</v>
      </c>
    </row>
    <row r="9" ht="12" customHeight="1">
      <c r="B9" s="314" t="str">
        <f>'5a-OpExYear1'!B11</f>
        <v>Car and Truck Expenses</v>
      </c>
      <c r="C9" s="151">
        <f>'5a-OpExYear1'!O11</f>
        <v>0</v>
      </c>
      <c r="D9" s="150">
        <v>0.03</v>
      </c>
      <c r="E9" s="151">
        <f t="shared" si="0"/>
        <v>0</v>
      </c>
      <c r="F9" s="150">
        <v>0.03</v>
      </c>
      <c r="G9" s="151">
        <f t="shared" si="0"/>
        <v>0</v>
      </c>
    </row>
    <row r="10" ht="13.5" customHeight="1">
      <c r="B10" s="314" t="str">
        <f>'5a-OpExYear1'!B12</f>
        <v>Closer Commissions (1% of contract value)</v>
      </c>
      <c r="C10" s="151">
        <f>'5a-OpExYear1'!O12</f>
        <v>107820</v>
      </c>
      <c r="D10" s="150">
        <v>0.05</v>
      </c>
      <c r="E10" s="151">
        <f t="shared" si="0"/>
        <v>113211</v>
      </c>
      <c r="F10" s="150">
        <v>0.05</v>
      </c>
      <c r="G10" s="151">
        <f t="shared" si="0"/>
        <v>118871.55</v>
      </c>
    </row>
    <row r="11" ht="12" customHeight="1">
      <c r="B11" s="314" t="str">
        <f>'5a-OpExYear1'!B13</f>
        <v>Contract Labor (Not included in payroll)</v>
      </c>
      <c r="C11" s="151">
        <f>'5a-OpExYear1'!O13</f>
        <v>0</v>
      </c>
      <c r="D11" s="150">
        <v>0.03</v>
      </c>
      <c r="E11" s="151">
        <f t="shared" si="0"/>
        <v>0</v>
      </c>
      <c r="F11" s="150">
        <v>0.03</v>
      </c>
      <c r="G11" s="151">
        <f t="shared" si="0"/>
        <v>0</v>
      </c>
    </row>
    <row r="12" ht="12" customHeight="1">
      <c r="B12" s="314" t="str">
        <f>'5a-OpExYear1'!B14</f>
        <v>Insurance (other than health)</v>
      </c>
      <c r="C12" s="151">
        <f>'5a-OpExYear1'!O14</f>
        <v>0</v>
      </c>
      <c r="D12" s="150">
        <v>0.03</v>
      </c>
      <c r="E12" s="151">
        <f t="shared" si="0"/>
        <v>0</v>
      </c>
      <c r="F12" s="150">
        <v>0.03</v>
      </c>
      <c r="G12" s="151">
        <f t="shared" si="0"/>
        <v>0</v>
      </c>
    </row>
    <row r="13" ht="13.5" customHeight="1">
      <c r="B13" s="314" t="str">
        <f>'5a-OpExYear1'!B15</f>
        <v>Legal and Professional Services (Company Setup)</v>
      </c>
      <c r="C13" s="151">
        <f>'5a-OpExYear1'!O15</f>
        <v>2000</v>
      </c>
      <c r="D13" s="150">
        <v>0.03</v>
      </c>
      <c r="E13" s="151">
        <f t="shared" si="0"/>
        <v>2060</v>
      </c>
      <c r="F13" s="150">
        <v>0.03</v>
      </c>
      <c r="G13" s="151">
        <f t="shared" si="0"/>
        <v>2121.8</v>
      </c>
    </row>
    <row r="14" ht="12" customHeight="1">
      <c r="B14" s="314" t="str">
        <f>'5a-OpExYear1'!B16</f>
        <v>Licenses</v>
      </c>
      <c r="C14" s="151">
        <f>'5a-OpExYear1'!O16</f>
        <v>0</v>
      </c>
      <c r="D14" s="150">
        <v>0.05</v>
      </c>
      <c r="E14" s="151">
        <f t="shared" si="0"/>
        <v>0</v>
      </c>
      <c r="F14" s="150">
        <v>0.05</v>
      </c>
      <c r="G14" s="151">
        <f t="shared" si="0"/>
        <v>0</v>
      </c>
    </row>
    <row r="15" ht="13.5" customHeight="1">
      <c r="B15" s="314" t="str">
        <f>'5a-OpExYear1'!B17</f>
        <v>Software &amp; Tools (CRM, dialing, calendaring)</v>
      </c>
      <c r="C15" s="151">
        <f>'5a-OpExYear1'!O17</f>
        <v>12000</v>
      </c>
      <c r="D15" s="150">
        <v>0.03</v>
      </c>
      <c r="E15" s="151">
        <f t="shared" si="0"/>
        <v>12360</v>
      </c>
      <c r="F15" s="150">
        <v>0.03</v>
      </c>
      <c r="G15" s="151">
        <f t="shared" si="0"/>
        <v>12730.8</v>
      </c>
    </row>
    <row r="16" ht="12" customHeight="1">
      <c r="B16" s="314" t="str">
        <f>'5a-OpExYear1'!B18</f>
        <v>Rent or Lease -- Vehicles, Machinery, Equipment</v>
      </c>
      <c r="C16" s="151">
        <f>'5a-OpExYear1'!O18</f>
        <v>0</v>
      </c>
      <c r="D16" s="150">
        <v>0.03</v>
      </c>
      <c r="E16" s="151">
        <f t="shared" si="0"/>
        <v>0</v>
      </c>
      <c r="F16" s="150">
        <v>0.03</v>
      </c>
      <c r="G16" s="151">
        <f t="shared" si="0"/>
        <v>0</v>
      </c>
    </row>
    <row r="17" ht="12" customHeight="1">
      <c r="B17" s="314" t="str">
        <f>'5a-OpExYear1'!B19</f>
        <v>Rent or Lease -- Other Business Property</v>
      </c>
      <c r="C17" s="151">
        <f>'5a-OpExYear1'!O19</f>
        <v>0</v>
      </c>
      <c r="D17" s="150">
        <v>0.03</v>
      </c>
      <c r="E17" s="151">
        <f t="shared" si="0"/>
        <v>0</v>
      </c>
      <c r="F17" s="150">
        <v>0.03</v>
      </c>
      <c r="G17" s="151">
        <f t="shared" si="0"/>
        <v>0</v>
      </c>
    </row>
    <row r="18" ht="12" customHeight="1">
      <c r="B18" s="314" t="str">
        <f>'5a-OpExYear1'!B20</f>
        <v>Repairs and Maintenance</v>
      </c>
      <c r="C18" s="151">
        <f>'5a-OpExYear1'!O20</f>
        <v>0</v>
      </c>
      <c r="D18" s="150">
        <v>0.05</v>
      </c>
      <c r="E18" s="151">
        <f t="shared" si="0"/>
        <v>0</v>
      </c>
      <c r="F18" s="150">
        <v>0.05</v>
      </c>
      <c r="G18" s="151">
        <f t="shared" si="0"/>
        <v>0</v>
      </c>
    </row>
    <row r="19" ht="12" customHeight="1">
      <c r="B19" s="314" t="str">
        <f>'5a-OpExYear1'!B21</f>
        <v>Supplies</v>
      </c>
      <c r="C19" s="151">
        <f>'5a-OpExYear1'!O21</f>
        <v>0</v>
      </c>
      <c r="D19" s="150">
        <v>0.03</v>
      </c>
      <c r="E19" s="151">
        <f t="shared" si="0"/>
        <v>0</v>
      </c>
      <c r="F19" s="150">
        <v>0.03</v>
      </c>
      <c r="G19" s="151">
        <f t="shared" si="0"/>
        <v>0</v>
      </c>
    </row>
    <row r="20" ht="12" customHeight="1">
      <c r="B20" s="314" t="str">
        <f>'5a-OpExYear1'!B22</f>
        <v>Travel, Meals and Entertainment</v>
      </c>
      <c r="C20" s="151">
        <f>'5a-OpExYear1'!O22</f>
        <v>0</v>
      </c>
      <c r="D20" s="150">
        <v>0.03</v>
      </c>
      <c r="E20" s="151">
        <f t="shared" si="0"/>
        <v>0</v>
      </c>
      <c r="F20" s="150">
        <v>0.03</v>
      </c>
      <c r="G20" s="151">
        <f t="shared" si="0"/>
        <v>0</v>
      </c>
    </row>
    <row r="21" ht="12" customHeight="1">
      <c r="B21" s="314" t="str">
        <f>'5a-OpExYear1'!B23</f>
        <v>Utilities</v>
      </c>
      <c r="C21" s="151">
        <f>'5a-OpExYear1'!O23</f>
        <v>0</v>
      </c>
      <c r="D21" s="150">
        <v>0.03</v>
      </c>
      <c r="E21" s="151">
        <f t="shared" si="0"/>
        <v>0</v>
      </c>
      <c r="F21" s="150">
        <v>0.03</v>
      </c>
      <c r="G21" s="151">
        <f t="shared" si="0"/>
        <v>0</v>
      </c>
    </row>
    <row r="22" ht="12" customHeight="1">
      <c r="B22" s="314" t="str">
        <f>'5a-OpExYear1'!B24</f>
        <v>Miscellaneous </v>
      </c>
      <c r="C22" s="151">
        <f>'5a-OpExYear1'!O24</f>
        <v>0</v>
      </c>
      <c r="D22" s="150">
        <v>0.03</v>
      </c>
      <c r="E22" s="151">
        <f t="shared" si="0"/>
        <v>0</v>
      </c>
      <c r="F22" s="150">
        <v>0.03</v>
      </c>
      <c r="G22" s="151">
        <f t="shared" si="0"/>
        <v>0</v>
      </c>
    </row>
    <row r="23" ht="13.5" customHeight="1">
      <c r="B23" s="315" t="s">
        <v>207</v>
      </c>
      <c r="C23" s="154">
        <f t="shared" si="1" ref="C23:G23">SUM(C8:C22)</f>
        <v>121820</v>
      </c>
      <c r="D23" s="150"/>
      <c r="E23" s="154">
        <f t="shared" si="1"/>
        <v>127631</v>
      </c>
      <c r="F23" s="150"/>
      <c r="G23" s="154">
        <f t="shared" si="1"/>
        <v>133724.15</v>
      </c>
    </row>
    <row r="24" ht="12" customHeight="1">
      <c r="B24" s="304"/>
      <c r="C24" s="151"/>
      <c r="D24" s="153"/>
      <c r="E24" s="151"/>
      <c r="F24" s="153"/>
      <c r="G24" s="151"/>
    </row>
    <row r="25" ht="12" customHeight="1">
      <c r="B25" s="262" t="s">
        <v>208</v>
      </c>
      <c r="C25" s="151"/>
      <c r="D25" s="153"/>
      <c r="E25" s="151"/>
      <c r="F25" s="153"/>
      <c r="G25" s="151"/>
    </row>
    <row r="26" ht="12" customHeight="1">
      <c r="B26" s="308" t="s">
        <v>209</v>
      </c>
      <c r="C26" s="309">
        <f>'5a-OpExYear1'!O28</f>
        <v>0</v>
      </c>
      <c r="D26" s="316"/>
      <c r="E26" s="151">
        <f>'Amortization&amp;Depreciation'!O123</f>
        <v>0</v>
      </c>
      <c r="F26" s="316"/>
      <c r="G26" s="151">
        <f>'Amortization&amp;Depreciation'!O127</f>
        <v>0</v>
      </c>
    </row>
    <row r="27" ht="12" customHeight="1">
      <c r="B27" s="308" t="s">
        <v>210</v>
      </c>
      <c r="C27" s="317"/>
      <c r="D27" s="316"/>
      <c r="E27" s="151"/>
      <c r="F27" s="316"/>
      <c r="G27" s="151"/>
    </row>
    <row r="28" ht="12" customHeight="1">
      <c r="B28" s="310" t="str">
        <f>'1-StartingPoint'!B37</f>
        <v>Commercial Loan</v>
      </c>
      <c r="C28" s="309">
        <f>'5a-OpExYear1'!O30</f>
        <v>0</v>
      </c>
      <c r="D28" s="316"/>
      <c r="E28" s="151">
        <f>IF('1-StartingPoint'!$F37&lt;36,0,'Amortization&amp;Depreciation'!O19)</f>
        <v>0</v>
      </c>
      <c r="F28" s="316"/>
      <c r="G28" s="151">
        <f>IF('1-StartingPoint'!$F37&lt;36,0,'Amortization&amp;Depreciation'!O23)</f>
        <v>0</v>
      </c>
    </row>
    <row r="29" ht="12" customHeight="1">
      <c r="B29" s="310" t="str">
        <f>'1-StartingPoint'!B38</f>
        <v>Commercial Mortgage</v>
      </c>
      <c r="C29" s="309">
        <f>'5a-OpExYear1'!O31</f>
        <v>0</v>
      </c>
      <c r="D29" s="316"/>
      <c r="E29" s="151">
        <f>IF('1-StartingPoint'!$F38&lt;36,0,'Amortization&amp;Depreciation'!O39)</f>
        <v>0</v>
      </c>
      <c r="F29" s="316"/>
      <c r="G29" s="151">
        <f>IF('1-StartingPoint'!$F38&lt;36,0,'Amortization&amp;Depreciation'!O43)</f>
        <v>0</v>
      </c>
    </row>
    <row r="30" ht="12" customHeight="1">
      <c r="B30" s="310" t="str">
        <f>'1-StartingPoint'!B39</f>
        <v>Credit Card Debt</v>
      </c>
      <c r="C30" s="309">
        <f>'5a-OpExYear1'!O32</f>
        <v>0</v>
      </c>
      <c r="D30" s="316"/>
      <c r="E30" s="151">
        <f>IF('1-StartingPoint'!$F39&lt;36,0,'Amortization&amp;Depreciation'!O59)</f>
        <v>0</v>
      </c>
      <c r="F30" s="316"/>
      <c r="G30" s="151">
        <f>IF('1-StartingPoint'!$F39&lt;36,0,'Amortization&amp;Depreciation'!O63)</f>
        <v>0</v>
      </c>
    </row>
    <row r="31" ht="12" customHeight="1">
      <c r="B31" s="310" t="str">
        <f>'1-StartingPoint'!B40</f>
        <v>Vehicle Loans</v>
      </c>
      <c r="C31" s="309">
        <f>'5a-OpExYear1'!O33</f>
        <v>0</v>
      </c>
      <c r="D31" s="316"/>
      <c r="E31" s="151">
        <f>IF('1-StartingPoint'!$F40&lt;36,0,'Amortization&amp;Depreciation'!O79)</f>
        <v>0</v>
      </c>
      <c r="F31" s="316"/>
      <c r="G31" s="151">
        <f>IF('1-StartingPoint'!$F40&lt;36,0,'Amortization&amp;Depreciation'!O83)</f>
        <v>0</v>
      </c>
    </row>
    <row r="32" ht="12" customHeight="1">
      <c r="B32" s="310" t="str">
        <f>'1-StartingPoint'!B41</f>
        <v>Other Bank Debt</v>
      </c>
      <c r="C32" s="309">
        <f>'5a-OpExYear1'!O34</f>
        <v>0</v>
      </c>
      <c r="D32" s="316"/>
      <c r="E32" s="151">
        <f>IF('1-StartingPoint'!$F41&lt;36,0,'Amortization&amp;Depreciation'!O99)</f>
        <v>0</v>
      </c>
      <c r="F32" s="316"/>
      <c r="G32" s="151">
        <f>IF('1-StartingPoint'!$F41&lt;36,0,'Amortization&amp;Depreciation'!O103)</f>
        <v>0</v>
      </c>
    </row>
    <row r="33" ht="12" customHeight="1">
      <c r="B33" s="310" t="s">
        <v>211</v>
      </c>
      <c r="C33" s="309">
        <f>+'6a-CashFlowYear1'!O26</f>
        <v>0</v>
      </c>
      <c r="D33" s="316"/>
      <c r="E33" s="148">
        <f>+'6b-CashFlowYrs1-3'!O25</f>
        <v>0</v>
      </c>
      <c r="F33" s="316"/>
      <c r="G33" s="318">
        <f>'6b-CashFlowYrs1-3'!AB25</f>
        <v>0</v>
      </c>
    </row>
    <row r="34" ht="12" customHeight="1">
      <c r="B34" s="308" t="s">
        <v>212</v>
      </c>
      <c r="C34" s="319">
        <f>+'5a-OpExYear1'!O36</f>
        <v>0</v>
      </c>
      <c r="D34" s="316"/>
      <c r="E34" s="148"/>
      <c r="F34" s="316"/>
      <c r="G34" s="148"/>
    </row>
    <row r="35" ht="12" customHeight="1">
      <c r="B35" s="320" t="s">
        <v>213</v>
      </c>
      <c r="C35" s="321">
        <f t="shared" si="2" ref="C35:G35">SUM(C26:C34)</f>
        <v>0</v>
      </c>
      <c r="D35" s="316"/>
      <c r="E35" s="322">
        <f t="shared" si="2"/>
        <v>0</v>
      </c>
      <c r="F35" s="316"/>
      <c r="G35" s="322">
        <f t="shared" si="2"/>
        <v>0</v>
      </c>
    </row>
    <row r="36" ht="13.5" customHeight="1">
      <c r="B36" s="114" t="s">
        <v>218</v>
      </c>
      <c r="C36" s="323">
        <f t="shared" si="3" ref="C36:G36">SUM(C8:C22)+C35</f>
        <v>121820</v>
      </c>
      <c r="D36" s="105"/>
      <c r="E36" s="323">
        <f t="shared" si="3"/>
        <v>127631</v>
      </c>
      <c r="F36" s="105"/>
      <c r="G36" s="323">
        <f t="shared" si="3"/>
        <v>133724.15</v>
      </c>
    </row>
  </sheetData>
  <sheetProtection sheet="1" objects="1" formatColumns="0" formatRows="0" password="CC3D"/>
  <mergeCells>
    <mergeCell ref="C5:F5"/>
    <mergeCell ref="B2:C2"/>
  </mergeCells>
  <conditionalFormatting sqref="E26 G26">
    <cfRule type="expression" dxfId="5" priority="3" text="null">
      <formula>LEN(TRIM(E26))=0</formula>
    </cfRule>
  </conditionalFormatting>
  <printOptions horizontalCentered="1"/>
  <pageMargins left="0.25" right="0.25" top="0.75" bottom="0.75" header="0.3" footer="0.3"/>
  <pageSetup paperSize="1" scale="94" pageOrder="downThenOver" orientation="landscape"/>
  <headerFooter scaleWithDoc="0">
    <oddHeader>&amp;L&amp;C&amp;"Gill Sans MT,Regular"&amp;12Operating Expenses Years 1-3&amp;R</oddHeader>
    <oddFooter>&amp;L&amp;"Gill Sans MT,Regular"&amp;12&amp;F&amp;C&amp;"Gill Sans MT,Regular"&amp;12&amp;A&amp;R&amp;"Gill Sans MT,Regular"&amp;12&amp;D &amp;T</oddFooter>
  </headerFooter>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5F56B47-DD48-84F3-EA68-14A72857E147}" mc:Ignorable="x14ac xr xr2 xr3">
  <sheetPr>
    <tabColor rgb="FFFFC95B"/>
    <pageSetUpPr fitToPage="1"/>
  </sheetPr>
  <dimension ref="A1:GR50000"/>
  <sheetViews>
    <sheetView topLeftCell="A19" zoomScale="173" workbookViewId="0">
      <selection activeCell="C10" sqref="C10"/>
    </sheetView>
  </sheetViews>
  <sheetFormatPr defaultRowHeight="12" defaultColWidth="8.8515625" customHeight="1"/>
  <cols>
    <col min="1" max="1" style="95" width="11.57421875" customWidth="1"/>
    <col min="2" max="2" style="95" width="31.28125" customWidth="1"/>
    <col min="3" max="10" style="95" width="9.7109375" customWidth="1"/>
    <col min="11" max="11" style="95" width="10.57421875" customWidth="1"/>
    <col min="12" max="14" style="95" width="9.7109375" customWidth="1"/>
    <col min="15" max="15" style="95" width="9.140625" customWidth="1"/>
    <col min="16" max="16" style="95" width="14.28125" customWidth="1"/>
    <col min="17" max="17" style="95" width="5.8515625" customWidth="1"/>
    <col min="18" max="18" width="7.8515625" customWidth="1"/>
  </cols>
  <sheetData>
    <row r="2" ht="12" customHeight="1">
      <c r="B2" s="324" t="s">
        <v>219</v>
      </c>
      <c r="C2" s="324"/>
      <c r="E2" s="325"/>
      <c r="H2" s="325"/>
      <c r="P2" s="326"/>
      <c r="Q2" s="326"/>
    </row>
    <row r="3" ht="12" customHeight="1">
      <c r="H3" s="252"/>
    </row>
    <row r="4" ht="12" customHeight="1">
      <c r="B4" s="137" t="s">
        <v>19</v>
      </c>
      <c r="C4" s="137" t="s">
        <v>20</v>
      </c>
      <c r="H4" s="252"/>
    </row>
    <row r="5" ht="12" customHeight="1">
      <c r="B5" s="95" t="str">
        <f>IF(ISBLANK(Directions!C10),"Owner",Directions!C10)</f>
        <v>Owner</v>
      </c>
      <c r="C5" s="95" t="str">
        <f>IF(ISBLANK(Directions!D10),"Company 1",Directions!D10)</f>
        <v>Company 1</v>
      </c>
      <c r="H5" s="252"/>
    </row>
    <row r="7" ht="14.25" customHeight="1">
      <c r="B7" s="96"/>
      <c r="C7" s="96" t="str">
        <f>'3a-SalesForecastYear1'!C16</f>
        <v>Month 1</v>
      </c>
      <c r="D7" s="96" t="str">
        <f>'3a-SalesForecastYear1'!D16</f>
        <v>Month 2</v>
      </c>
      <c r="E7" s="96" t="str">
        <f>'3a-SalesForecastYear1'!E16</f>
        <v>Month 3</v>
      </c>
      <c r="F7" s="96" t="str">
        <f>'3a-SalesForecastYear1'!F16</f>
        <v>Month 4</v>
      </c>
      <c r="G7" s="96" t="str">
        <f>'3a-SalesForecastYear1'!G16</f>
        <v>Month 5</v>
      </c>
      <c r="H7" s="96" t="str">
        <f>'3a-SalesForecastYear1'!H16</f>
        <v>Month 6</v>
      </c>
      <c r="I7" s="96" t="str">
        <f>'3a-SalesForecastYear1'!I16</f>
        <v>Month 7</v>
      </c>
      <c r="J7" s="96" t="str">
        <f>'3a-SalesForecastYear1'!J16</f>
        <v>Month 8</v>
      </c>
      <c r="K7" s="96" t="str">
        <f>'3a-SalesForecastYear1'!K16</f>
        <v>Month 9</v>
      </c>
      <c r="L7" s="96" t="str">
        <f>'3a-SalesForecastYear1'!L16</f>
        <v>Month 10</v>
      </c>
      <c r="M7" s="96" t="str">
        <f>'3a-SalesForecastYear1'!M16</f>
        <v>Month 11</v>
      </c>
      <c r="N7" s="96" t="str">
        <f>'3a-SalesForecastYear1'!N16</f>
        <v>Month 12</v>
      </c>
      <c r="O7" s="96" t="s">
        <v>52</v>
      </c>
    </row>
    <row r="8" ht="13.5" customHeight="1">
      <c r="B8" s="327" t="s">
        <v>220</v>
      </c>
      <c r="C8" s="322">
        <f>Working_Capital</f>
        <v>0</v>
      </c>
      <c r="D8" s="322">
        <f t="shared" si="0" ref="D8:N8">C33</f>
        <v>3780.375</v>
      </c>
      <c r="E8" s="322">
        <f t="shared" si="0"/>
        <v>11504.75</v>
      </c>
      <c r="F8" s="322">
        <f t="shared" si="0"/>
        <v>19229.125</v>
      </c>
      <c r="G8" s="322">
        <f t="shared" si="0"/>
        <v>30150</v>
      </c>
      <c r="H8" s="322">
        <f t="shared" si="0"/>
        <v>41830.375</v>
      </c>
      <c r="I8" s="322">
        <f t="shared" si="0"/>
        <v>52434.25</v>
      </c>
      <c r="J8" s="322">
        <f t="shared" si="0"/>
        <v>69737.625</v>
      </c>
      <c r="K8" s="322">
        <f t="shared" si="0"/>
        <v>88985</v>
      </c>
      <c r="L8" s="322">
        <f t="shared" si="0"/>
        <v>113940.3495</v>
      </c>
      <c r="M8" s="322">
        <f t="shared" si="0"/>
        <v>141649.699</v>
      </c>
      <c r="N8" s="322">
        <f t="shared" si="0"/>
        <v>176163.0485</v>
      </c>
      <c r="O8" s="328"/>
    </row>
    <row r="9" ht="12" customHeight="1">
      <c r="B9" s="329" t="s">
        <v>221</v>
      </c>
      <c r="C9" s="330"/>
      <c r="D9" s="330"/>
      <c r="E9" s="330"/>
      <c r="F9" s="330"/>
      <c r="G9" s="330"/>
      <c r="H9" s="330"/>
      <c r="I9" s="330"/>
      <c r="J9" s="330"/>
      <c r="K9" s="330"/>
      <c r="L9" s="330"/>
      <c r="M9" s="330"/>
      <c r="N9" s="330"/>
      <c r="O9" s="330"/>
    </row>
    <row r="10" ht="13.5" customHeight="1">
      <c r="B10" s="331" t="s">
        <v>222</v>
      </c>
      <c r="C10" s="332">
        <f>'3a-SalesForecastYear1'!C53*'4-AdditionalInputs'!$C$9</f>
        <v>16524</v>
      </c>
      <c r="D10" s="151">
        <f>'3a-SalesForecastYear1'!D53*'4-AdditionalInputs'!$C$9</f>
        <v>18468</v>
      </c>
      <c r="E10" s="151">
        <f>'3a-SalesForecastYear1'!E53*'4-AdditionalInputs'!$C$9</f>
        <v>18468</v>
      </c>
      <c r="F10" s="151">
        <f>'3a-SalesForecastYear1'!F53*'4-AdditionalInputs'!$C$9</f>
        <v>34074</v>
      </c>
      <c r="G10" s="151">
        <f>'3a-SalesForecastYear1'!G53*'4-AdditionalInputs'!$C$9</f>
        <v>35910</v>
      </c>
      <c r="H10" s="151">
        <f>'3a-SalesForecastYear1'!H53*'4-AdditionalInputs'!$C$9</f>
        <v>35910</v>
      </c>
      <c r="I10" s="151">
        <f>'3a-SalesForecastYear1'!I53*'4-AdditionalInputs'!$C$9</f>
        <v>53406</v>
      </c>
      <c r="J10" s="151">
        <f>'3a-SalesForecastYear1'!J53*'4-AdditionalInputs'!$C$9</f>
        <v>55350</v>
      </c>
      <c r="K10" s="151">
        <f>'3a-SalesForecastYear1'!K53*'4-AdditionalInputs'!$C$9</f>
        <v>70956</v>
      </c>
      <c r="L10" s="151">
        <f>'3a-SalesForecastYear1'!L53*'4-AdditionalInputs'!$C$9</f>
        <v>73710</v>
      </c>
      <c r="M10" s="151">
        <f>'3a-SalesForecastYear1'!M53*'4-AdditionalInputs'!$C$9</f>
        <v>90234</v>
      </c>
      <c r="N10" s="151">
        <f>'3a-SalesForecastYear1'!N53*'4-AdditionalInputs'!$C$9</f>
        <v>108702</v>
      </c>
      <c r="O10" s="154">
        <f t="shared" si="1" ref="O10:O32">SUM(C10:N10)</f>
        <v>611712</v>
      </c>
    </row>
    <row r="11" ht="12" customHeight="1">
      <c r="B11" s="331" t="s">
        <v>223</v>
      </c>
      <c r="C11" s="151">
        <v>0</v>
      </c>
      <c r="D11" s="151">
        <f>('3a-SalesForecastYear1'!C53*'4-AdditionalInputs'!$C$10)</f>
        <v>0</v>
      </c>
      <c r="E11" s="151">
        <f>('3a-SalesForecastYear1'!D53*'4-AdditionalInputs'!$C$10)+('3a-SalesForecastYear1'!C53*'4-AdditionalInputs'!$C$11)</f>
        <v>0</v>
      </c>
      <c r="F11" s="151">
        <f>('3a-SalesForecastYear1'!E53*'4-AdditionalInputs'!$C$10)+('3a-SalesForecastYear1'!D53*'4-AdditionalInputs'!$C$11)</f>
        <v>0</v>
      </c>
      <c r="G11" s="151">
        <f>('3a-SalesForecastYear1'!F53*'4-AdditionalInputs'!$C$10)+('3a-SalesForecastYear1'!E53*'4-AdditionalInputs'!$C$11)</f>
        <v>0</v>
      </c>
      <c r="H11" s="151">
        <f>('3a-SalesForecastYear1'!G53*'4-AdditionalInputs'!$C$10)+('3a-SalesForecastYear1'!F53*'4-AdditionalInputs'!$C$11)</f>
        <v>0</v>
      </c>
      <c r="I11" s="151">
        <f>('3a-SalesForecastYear1'!H53*'4-AdditionalInputs'!$C$10)+('3a-SalesForecastYear1'!G53*'4-AdditionalInputs'!$C$11)</f>
        <v>0</v>
      </c>
      <c r="J11" s="151">
        <f>('3a-SalesForecastYear1'!I53*'4-AdditionalInputs'!$C$10)+('3a-SalesForecastYear1'!H53*'4-AdditionalInputs'!$C$11)</f>
        <v>0</v>
      </c>
      <c r="K11" s="151">
        <f>('3a-SalesForecastYear1'!J53*'4-AdditionalInputs'!$C$10)+('3a-SalesForecastYear1'!I53*'4-AdditionalInputs'!$C$11)</f>
        <v>0</v>
      </c>
      <c r="L11" s="151">
        <f>('3a-SalesForecastYear1'!K53*'4-AdditionalInputs'!$C$10)+('3a-SalesForecastYear1'!J53*'4-AdditionalInputs'!$C$11)</f>
        <v>0</v>
      </c>
      <c r="M11" s="151">
        <f>('3a-SalesForecastYear1'!L53*'4-AdditionalInputs'!$C$10)+('3a-SalesForecastYear1'!K53*'4-AdditionalInputs'!$C$11)</f>
        <v>0</v>
      </c>
      <c r="N11" s="151">
        <f>('3a-SalesForecastYear1'!M53*'4-AdditionalInputs'!$C$10)+('3a-SalesForecastYear1'!L53*'4-AdditionalInputs'!$C$11)</f>
        <v>0</v>
      </c>
      <c r="O11" s="154">
        <f t="shared" si="1"/>
        <v>0</v>
      </c>
    </row>
    <row r="12" ht="13.5" customHeight="1">
      <c r="B12" s="114" t="s">
        <v>224</v>
      </c>
      <c r="C12" s="154">
        <f t="shared" si="2" ref="C12:O12">SUM(C10:C11)</f>
        <v>16524</v>
      </c>
      <c r="D12" s="154">
        <f t="shared" si="2"/>
        <v>18468</v>
      </c>
      <c r="E12" s="154">
        <f t="shared" si="2"/>
        <v>18468</v>
      </c>
      <c r="F12" s="154">
        <f t="shared" si="2"/>
        <v>34074</v>
      </c>
      <c r="G12" s="154">
        <f t="shared" si="2"/>
        <v>35910</v>
      </c>
      <c r="H12" s="154">
        <f t="shared" si="2"/>
        <v>35910</v>
      </c>
      <c r="I12" s="154">
        <f t="shared" si="2"/>
        <v>53406</v>
      </c>
      <c r="J12" s="154">
        <f t="shared" si="2"/>
        <v>55350</v>
      </c>
      <c r="K12" s="154">
        <f t="shared" si="2"/>
        <v>70956</v>
      </c>
      <c r="L12" s="154">
        <f t="shared" si="2"/>
        <v>73710</v>
      </c>
      <c r="M12" s="154">
        <f t="shared" si="2"/>
        <v>90234</v>
      </c>
      <c r="N12" s="154">
        <f t="shared" si="2"/>
        <v>108702</v>
      </c>
      <c r="O12" s="154">
        <f t="shared" si="2"/>
        <v>611712</v>
      </c>
    </row>
    <row r="13" ht="12" customHeight="1">
      <c r="B13" s="114"/>
      <c r="C13" s="151"/>
      <c r="D13" s="151"/>
      <c r="E13" s="151"/>
      <c r="F13" s="151"/>
      <c r="G13" s="151"/>
      <c r="H13" s="151"/>
      <c r="I13" s="151"/>
      <c r="J13" s="151"/>
      <c r="K13" s="151"/>
      <c r="L13" s="151"/>
      <c r="M13" s="151"/>
      <c r="N13" s="151"/>
      <c r="O13" s="154"/>
    </row>
    <row r="14" ht="12" customHeight="1">
      <c r="B14" s="329" t="s">
        <v>225</v>
      </c>
      <c r="C14" s="151"/>
      <c r="D14" s="151"/>
      <c r="E14" s="151"/>
      <c r="F14" s="151"/>
      <c r="G14" s="151"/>
      <c r="H14" s="151"/>
      <c r="I14" s="151"/>
      <c r="J14" s="151"/>
      <c r="K14" s="151"/>
      <c r="L14" s="151"/>
      <c r="M14" s="151"/>
      <c r="N14" s="151"/>
      <c r="O14" s="154"/>
    </row>
    <row r="15" ht="12" customHeight="1">
      <c r="B15" s="331" t="s">
        <v>226</v>
      </c>
      <c r="C15" s="151"/>
      <c r="D15" s="151"/>
      <c r="E15" s="151"/>
      <c r="F15" s="151"/>
      <c r="G15" s="151"/>
      <c r="H15" s="151"/>
      <c r="I15" s="151"/>
      <c r="J15" s="151"/>
      <c r="K15" s="151"/>
      <c r="L15" s="151"/>
      <c r="M15" s="151"/>
      <c r="N15" s="151"/>
      <c r="O15" s="154"/>
    </row>
    <row r="16" ht="12" customHeight="1">
      <c r="B16" s="333" t="s">
        <v>227</v>
      </c>
      <c r="C16" s="151">
        <v>0</v>
      </c>
      <c r="D16" s="151">
        <f>'4-AdditionalInputs'!E35</f>
        <v>0</v>
      </c>
      <c r="E16" s="151">
        <f>'4-AdditionalInputs'!F35</f>
        <v>0</v>
      </c>
      <c r="F16" s="151">
        <f>'4-AdditionalInputs'!G35</f>
        <v>0</v>
      </c>
      <c r="G16" s="151">
        <f>'4-AdditionalInputs'!H35</f>
        <v>0</v>
      </c>
      <c r="H16" s="151">
        <f>'4-AdditionalInputs'!I35</f>
        <v>0</v>
      </c>
      <c r="I16" s="151">
        <f>'4-AdditionalInputs'!J35</f>
        <v>0</v>
      </c>
      <c r="J16" s="151">
        <f>'4-AdditionalInputs'!K35</f>
        <v>0</v>
      </c>
      <c r="K16" s="151">
        <f>'4-AdditionalInputs'!L35</f>
        <v>0</v>
      </c>
      <c r="L16" s="151">
        <f>'4-AdditionalInputs'!M35</f>
        <v>0</v>
      </c>
      <c r="M16" s="151">
        <f>'4-AdditionalInputs'!N35</f>
        <v>0</v>
      </c>
      <c r="N16" s="151">
        <f>'4-AdditionalInputs'!O35</f>
        <v>0</v>
      </c>
      <c r="O16" s="154">
        <f t="shared" si="1"/>
        <v>0</v>
      </c>
    </row>
    <row r="17" ht="12" customHeight="1">
      <c r="B17" s="333" t="s">
        <v>228</v>
      </c>
      <c r="C17" s="305"/>
      <c r="D17" s="305"/>
      <c r="E17" s="305"/>
      <c r="F17" s="305"/>
      <c r="G17" s="305"/>
      <c r="H17" s="305"/>
      <c r="I17" s="305"/>
      <c r="J17" s="305"/>
      <c r="K17" s="305"/>
      <c r="L17" s="305"/>
      <c r="M17" s="305"/>
      <c r="N17" s="305"/>
      <c r="O17" s="154">
        <f t="shared" si="1"/>
        <v>0</v>
      </c>
    </row>
    <row r="18" ht="13.5" customHeight="1">
      <c r="B18" s="333" t="s">
        <v>229</v>
      </c>
      <c r="C18" s="151">
        <f>'3a-SalesForecastYear1'!C54*'4-AdditionalInputs'!$C$17</f>
        <v>6480</v>
      </c>
      <c r="D18" s="151">
        <f>('3a-SalesForecastYear1'!D54*'4-AdditionalInputs'!$C$17)+('3a-SalesForecastYear1'!C54*'4-AdditionalInputs'!$C$18)</f>
        <v>6480</v>
      </c>
      <c r="E18" s="151">
        <f>('3a-SalesForecastYear1'!E54*'4-AdditionalInputs'!$C$17)+('3a-SalesForecastYear1'!D54*'4-AdditionalInputs'!$C$18)+('3a-SalesForecastYear1'!C54*'4-AdditionalInputs'!$C$19)</f>
        <v>6480</v>
      </c>
      <c r="F18" s="151">
        <f>('3a-SalesForecastYear1'!F54*'4-AdditionalInputs'!$C$17)+('3a-SalesForecastYear1'!E54*'4-AdditionalInputs'!$C$18)+('3a-SalesForecastYear1'!D54*'4-AdditionalInputs'!$C$19)</f>
        <v>12600</v>
      </c>
      <c r="G18" s="151">
        <f>('3a-SalesForecastYear1'!G54*'4-AdditionalInputs'!$C$17)+('3a-SalesForecastYear1'!F54*'4-AdditionalInputs'!$C$18)+('3a-SalesForecastYear1'!E54*'4-AdditionalInputs'!$C$19)</f>
        <v>12600</v>
      </c>
      <c r="H18" s="151">
        <f>('3a-SalesForecastYear1'!H54*'4-AdditionalInputs'!$C$17)+('3a-SalesForecastYear1'!G54*'4-AdditionalInputs'!$C$18)+('3a-SalesForecastYear1'!F54*'4-AdditionalInputs'!$C$19)</f>
        <v>12600</v>
      </c>
      <c r="I18" s="151">
        <f>('3a-SalesForecastYear1'!I54*'4-AdditionalInputs'!$C$17)+('3a-SalesForecastYear1'!H54*'4-AdditionalInputs'!$C$18)+('3a-SalesForecastYear1'!G54*'4-AdditionalInputs'!$C$19)</f>
        <v>19080</v>
      </c>
      <c r="J18" s="151">
        <f>('3a-SalesForecastYear1'!J54*'4-AdditionalInputs'!$C$17)+('3a-SalesForecastYear1'!I54*'4-AdditionalInputs'!$C$18)+('3a-SalesForecastYear1'!H54*'4-AdditionalInputs'!$C$19)</f>
        <v>19080</v>
      </c>
      <c r="K18" s="151">
        <f>('3a-SalesForecastYear1'!K54*'4-AdditionalInputs'!$C$17)+('3a-SalesForecastYear1'!J54*'4-AdditionalInputs'!$C$18)+('3a-SalesForecastYear1'!I54*'4-AdditionalInputs'!$C$19)</f>
        <v>25200</v>
      </c>
      <c r="L18" s="151">
        <f>('3a-SalesForecastYear1'!L54*'4-AdditionalInputs'!$C$17)+('3a-SalesForecastYear1'!K54*'4-AdditionalInputs'!$C$18)+('3a-SalesForecastYear1'!J54*'4-AdditionalInputs'!$C$19)</f>
        <v>25200</v>
      </c>
      <c r="M18" s="151">
        <f>('3a-SalesForecastYear1'!M54*'4-AdditionalInputs'!$C$17)+('3a-SalesForecastYear1'!L54*'4-AdditionalInputs'!$C$18)+('3a-SalesForecastYear1'!K54*'4-AdditionalInputs'!$C$19)</f>
        <v>31680</v>
      </c>
      <c r="N18" s="151">
        <f>('3a-SalesForecastYear1'!N54*'4-AdditionalInputs'!$C$17)+('3a-SalesForecastYear1'!M54*'4-AdditionalInputs'!$C$18)+('3a-SalesForecastYear1'!L54*'4-AdditionalInputs'!$C$19)</f>
        <v>38160</v>
      </c>
      <c r="O18" s="154">
        <f t="shared" si="1"/>
        <v>215640</v>
      </c>
    </row>
    <row r="19" ht="12" customHeight="1">
      <c r="B19" s="331" t="s">
        <v>230</v>
      </c>
      <c r="C19" s="151"/>
      <c r="D19" s="151"/>
      <c r="E19" s="151"/>
      <c r="F19" s="151"/>
      <c r="G19" s="151"/>
      <c r="H19" s="151"/>
      <c r="I19" s="151"/>
      <c r="J19" s="151"/>
      <c r="K19" s="151"/>
      <c r="L19" s="151"/>
      <c r="M19" s="151"/>
      <c r="N19" s="151"/>
      <c r="O19" s="154"/>
    </row>
    <row r="20" ht="13.5" customHeight="1">
      <c r="B20" s="333" t="s">
        <v>231</v>
      </c>
      <c r="C20" s="151">
        <f>'5a-OpExYear1'!C25</f>
        <v>6240</v>
      </c>
      <c r="D20" s="151">
        <f>'5a-OpExYear1'!D25</f>
        <v>4240</v>
      </c>
      <c r="E20" s="151">
        <f>'5a-OpExYear1'!E25</f>
        <v>4240</v>
      </c>
      <c r="F20" s="151">
        <f>'5a-OpExYear1'!F25</f>
        <v>7300</v>
      </c>
      <c r="G20" s="151">
        <f>'5a-OpExYear1'!G25</f>
        <v>7300</v>
      </c>
      <c r="H20" s="151">
        <f>'5a-OpExYear1'!H25</f>
        <v>7300</v>
      </c>
      <c r="I20" s="151">
        <f>'5a-OpExYear1'!I25</f>
        <v>10540</v>
      </c>
      <c r="J20" s="151">
        <f>'5a-OpExYear1'!J25</f>
        <v>10540</v>
      </c>
      <c r="K20" s="151">
        <f>'5a-OpExYear1'!K25</f>
        <v>13600</v>
      </c>
      <c r="L20" s="151">
        <f>'5a-OpExYear1'!L25</f>
        <v>13600</v>
      </c>
      <c r="M20" s="151">
        <f>'5a-OpExYear1'!M25</f>
        <v>16840</v>
      </c>
      <c r="N20" s="151">
        <f>'5a-OpExYear1'!N25</f>
        <v>20080</v>
      </c>
      <c r="O20" s="154">
        <f t="shared" si="1"/>
        <v>121820</v>
      </c>
    </row>
    <row r="21" ht="13.5" customHeight="1">
      <c r="B21" s="333" t="s">
        <v>232</v>
      </c>
      <c r="C21" s="151">
        <f>'2a-PayrollYear1'!F25</f>
        <v>23.625</v>
      </c>
      <c r="D21" s="151">
        <f>'2a-PayrollYear1'!G25</f>
        <v>23.625</v>
      </c>
      <c r="E21" s="151">
        <f>'2a-PayrollYear1'!H25</f>
        <v>23.625</v>
      </c>
      <c r="F21" s="151">
        <f>'2a-PayrollYear1'!I25</f>
        <v>3253.125</v>
      </c>
      <c r="G21" s="151">
        <f>'2a-PayrollYear1'!J25</f>
        <v>4329.625</v>
      </c>
      <c r="H21" s="151">
        <f>'2a-PayrollYear1'!K25</f>
        <v>5406.125</v>
      </c>
      <c r="I21" s="151">
        <f>'2a-PayrollYear1'!L25</f>
        <v>6482.625</v>
      </c>
      <c r="J21" s="151">
        <f>'2a-PayrollYear1'!M25</f>
        <v>6482.625</v>
      </c>
      <c r="K21" s="151">
        <f>'2a-PayrollYear1'!N25</f>
        <v>7200.6505</v>
      </c>
      <c r="L21" s="151">
        <f>'2a-PayrollYear1'!O25</f>
        <v>7200.6505</v>
      </c>
      <c r="M21" s="151">
        <f>'2a-PayrollYear1'!P25</f>
        <v>7200.6505</v>
      </c>
      <c r="N21" s="151">
        <f>'2a-PayrollYear1'!Q25</f>
        <v>7200.6505</v>
      </c>
      <c r="O21" s="154">
        <f t="shared" si="1"/>
        <v>54827.602</v>
      </c>
    </row>
    <row r="22" ht="12" customHeight="1">
      <c r="B22" s="333" t="s">
        <v>233</v>
      </c>
      <c r="C22" s="151">
        <v>0</v>
      </c>
      <c r="D22" s="151">
        <v>0</v>
      </c>
      <c r="E22" s="151">
        <f>SUM('7a-IncomeStatementYear1'!C59:E59)</f>
        <v>0</v>
      </c>
      <c r="F22" s="151">
        <v>0</v>
      </c>
      <c r="G22" s="151">
        <v>0</v>
      </c>
      <c r="H22" s="151">
        <f>SUM('7a-IncomeStatementYear1'!F59:H59)</f>
        <v>0</v>
      </c>
      <c r="I22" s="151">
        <v>0</v>
      </c>
      <c r="J22" s="151">
        <v>0</v>
      </c>
      <c r="K22" s="151">
        <f>SUM('7a-IncomeStatementYear1'!I59:K59)</f>
        <v>0</v>
      </c>
      <c r="L22" s="151">
        <v>0</v>
      </c>
      <c r="M22" s="151">
        <v>0</v>
      </c>
      <c r="N22" s="151">
        <f>SUM('7a-IncomeStatementYear1'!L59:N59)</f>
        <v>0</v>
      </c>
      <c r="O22" s="154">
        <f t="shared" si="1"/>
        <v>0</v>
      </c>
    </row>
    <row r="23" ht="12" customHeight="1">
      <c r="B23" s="331" t="s">
        <v>234</v>
      </c>
      <c r="C23" s="151"/>
      <c r="D23" s="151"/>
      <c r="E23" s="151"/>
      <c r="F23" s="151"/>
      <c r="G23" s="151"/>
      <c r="H23" s="151"/>
      <c r="I23" s="151"/>
      <c r="J23" s="151"/>
      <c r="K23" s="151"/>
      <c r="L23" s="151"/>
      <c r="M23" s="151"/>
      <c r="N23" s="151"/>
      <c r="O23" s="154"/>
    </row>
    <row r="24" ht="12" customHeight="1">
      <c r="B24" s="333" t="s">
        <v>235</v>
      </c>
      <c r="C24" s="151">
        <f>SUM('Amortization&amp;Depreciation'!C15:C16)+SUM('Amortization&amp;Depreciation'!C35:C36)+SUM('Amortization&amp;Depreciation'!C55:C56)+SUM('Amortization&amp;Depreciation'!C75:C76)+SUM('Amortization&amp;Depreciation'!C95:C96)</f>
        <v>0</v>
      </c>
      <c r="D24" s="151">
        <f>SUM('Amortization&amp;Depreciation'!D15:D16)+SUM('Amortization&amp;Depreciation'!D35:D36)+SUM('Amortization&amp;Depreciation'!D55:D56)+SUM('Amortization&amp;Depreciation'!D75:D76)+SUM('Amortization&amp;Depreciation'!D95:D96)</f>
        <v>0</v>
      </c>
      <c r="E24" s="151">
        <f>SUM('Amortization&amp;Depreciation'!E15:E16)+SUM('Amortization&amp;Depreciation'!E35:E36)+SUM('Amortization&amp;Depreciation'!E55:E56)+SUM('Amortization&amp;Depreciation'!E75:E76)+SUM('Amortization&amp;Depreciation'!E95:E96)</f>
        <v>0</v>
      </c>
      <c r="F24" s="151">
        <f>SUM('Amortization&amp;Depreciation'!F15:F16)+SUM('Amortization&amp;Depreciation'!F35:F36)+SUM('Amortization&amp;Depreciation'!F55:F56)+SUM('Amortization&amp;Depreciation'!F75:F76)+SUM('Amortization&amp;Depreciation'!F95:F96)</f>
        <v>0</v>
      </c>
      <c r="G24" s="151">
        <f>SUM('Amortization&amp;Depreciation'!G15:G16)+SUM('Amortization&amp;Depreciation'!G35:G36)+SUM('Amortization&amp;Depreciation'!G55:G56)+SUM('Amortization&amp;Depreciation'!G75:G76)+SUM('Amortization&amp;Depreciation'!G95:G96)</f>
        <v>0</v>
      </c>
      <c r="H24" s="151">
        <f>SUM('Amortization&amp;Depreciation'!H15:H16)+SUM('Amortization&amp;Depreciation'!H35:H36)+SUM('Amortization&amp;Depreciation'!H55:H56)+SUM('Amortization&amp;Depreciation'!H75:H76)+SUM('Amortization&amp;Depreciation'!H95:H96)</f>
        <v>0</v>
      </c>
      <c r="I24" s="151">
        <f>SUM('Amortization&amp;Depreciation'!I15:I16)+SUM('Amortization&amp;Depreciation'!I35:I36)+SUM('Amortization&amp;Depreciation'!I55:I56)+SUM('Amortization&amp;Depreciation'!I75:I76)+SUM('Amortization&amp;Depreciation'!I95:I96)</f>
        <v>0</v>
      </c>
      <c r="J24" s="151">
        <f>SUM('Amortization&amp;Depreciation'!J15:J16)+SUM('Amortization&amp;Depreciation'!J35:J36)+SUM('Amortization&amp;Depreciation'!J55:J56)+SUM('Amortization&amp;Depreciation'!J75:J76)+SUM('Amortization&amp;Depreciation'!J95:J96)</f>
        <v>0</v>
      </c>
      <c r="K24" s="151">
        <f>SUM('Amortization&amp;Depreciation'!K15:K16)+SUM('Amortization&amp;Depreciation'!K35:K36)+SUM('Amortization&amp;Depreciation'!K55:K56)+SUM('Amortization&amp;Depreciation'!K75:K76)+SUM('Amortization&amp;Depreciation'!K95:K96)</f>
        <v>0</v>
      </c>
      <c r="L24" s="151">
        <f>SUM('Amortization&amp;Depreciation'!L15:L16)+SUM('Amortization&amp;Depreciation'!L35:L36)+SUM('Amortization&amp;Depreciation'!L55:L56)+SUM('Amortization&amp;Depreciation'!L75:L76)+SUM('Amortization&amp;Depreciation'!L95:L96)</f>
        <v>0</v>
      </c>
      <c r="M24" s="151">
        <f>SUM('Amortization&amp;Depreciation'!M15:M16)+SUM('Amortization&amp;Depreciation'!M35:M36)+SUM('Amortization&amp;Depreciation'!M55:M56)+SUM('Amortization&amp;Depreciation'!M75:M76)+SUM('Amortization&amp;Depreciation'!M95:M96)</f>
        <v>0</v>
      </c>
      <c r="N24" s="151">
        <f>SUM('Amortization&amp;Depreciation'!N15:N16)+SUM('Amortization&amp;Depreciation'!N35:N36)+SUM('Amortization&amp;Depreciation'!N55:N56)+SUM('Amortization&amp;Depreciation'!N75:N76)+SUM('Amortization&amp;Depreciation'!N95:N96)</f>
        <v>0</v>
      </c>
      <c r="O24" s="154">
        <f t="shared" si="1"/>
        <v>0</v>
      </c>
    </row>
    <row r="25" ht="12" customHeight="1">
      <c r="B25" s="333" t="s">
        <v>236</v>
      </c>
      <c r="C25" s="305"/>
      <c r="D25" s="305"/>
      <c r="E25" s="305"/>
      <c r="F25" s="305"/>
      <c r="G25" s="305"/>
      <c r="H25" s="305"/>
      <c r="I25" s="305"/>
      <c r="J25" s="305"/>
      <c r="K25" s="305"/>
      <c r="L25" s="305"/>
      <c r="M25" s="305"/>
      <c r="N25" s="305"/>
      <c r="O25" s="154">
        <f t="shared" si="1"/>
        <v>0</v>
      </c>
    </row>
    <row r="26" ht="12" customHeight="1">
      <c r="B26" s="333" t="s">
        <v>237</v>
      </c>
      <c r="C26" s="151"/>
      <c r="D26" s="151">
        <f>C34*'4-AdditionalInputs'!$D$25/12</f>
        <v>0</v>
      </c>
      <c r="E26" s="151">
        <f>D34*'4-AdditionalInputs'!$D$25/12</f>
        <v>0</v>
      </c>
      <c r="F26" s="151">
        <f>E34*'4-AdditionalInputs'!$D$25/12</f>
        <v>0</v>
      </c>
      <c r="G26" s="151">
        <f>F34*'4-AdditionalInputs'!$D$25/12</f>
        <v>0</v>
      </c>
      <c r="H26" s="151">
        <f>G34*'4-AdditionalInputs'!$D$25/12</f>
        <v>0</v>
      </c>
      <c r="I26" s="151">
        <f>H34*'4-AdditionalInputs'!$D$25/12</f>
        <v>0</v>
      </c>
      <c r="J26" s="151">
        <f>I34*'4-AdditionalInputs'!$D$25/12</f>
        <v>0</v>
      </c>
      <c r="K26" s="151">
        <f>J34*'4-AdditionalInputs'!$D$25/12</f>
        <v>0</v>
      </c>
      <c r="L26" s="151">
        <f>K34*'4-AdditionalInputs'!$D$25/12</f>
        <v>0</v>
      </c>
      <c r="M26" s="151">
        <f>L34*'4-AdditionalInputs'!$D$25/12</f>
        <v>0</v>
      </c>
      <c r="N26" s="151">
        <f>M34*'4-AdditionalInputs'!$D$25/12</f>
        <v>0</v>
      </c>
      <c r="O26" s="154">
        <f t="shared" si="1"/>
        <v>0</v>
      </c>
    </row>
    <row r="27" ht="12" customHeight="1">
      <c r="B27" s="333" t="s">
        <v>238</v>
      </c>
      <c r="C27" s="305"/>
      <c r="D27" s="305"/>
      <c r="E27" s="305"/>
      <c r="F27" s="305"/>
      <c r="G27" s="305"/>
      <c r="H27" s="305"/>
      <c r="I27" s="305"/>
      <c r="J27" s="305"/>
      <c r="K27" s="305"/>
      <c r="L27" s="305"/>
      <c r="M27" s="305"/>
      <c r="N27" s="305"/>
      <c r="O27" s="154">
        <f t="shared" si="1"/>
        <v>0</v>
      </c>
    </row>
    <row r="28" ht="12" customHeight="1">
      <c r="B28" s="333" t="s">
        <v>239</v>
      </c>
      <c r="C28" s="305"/>
      <c r="D28" s="305"/>
      <c r="E28" s="305"/>
      <c r="F28" s="305"/>
      <c r="G28" s="305"/>
      <c r="H28" s="305"/>
      <c r="I28" s="305"/>
      <c r="J28" s="305"/>
      <c r="K28" s="305"/>
      <c r="L28" s="305"/>
      <c r="M28" s="305"/>
      <c r="N28" s="305"/>
      <c r="O28" s="154">
        <f t="shared" si="1"/>
        <v>0</v>
      </c>
    </row>
    <row r="29" ht="13.5" customHeight="1">
      <c r="B29" s="334" t="s">
        <v>240</v>
      </c>
      <c r="C29" s="335">
        <f t="shared" si="3" ref="C29:N29">SUM(C16:C28)</f>
        <v>12743.625</v>
      </c>
      <c r="D29" s="335">
        <f t="shared" si="3"/>
        <v>10743.625</v>
      </c>
      <c r="E29" s="335">
        <f t="shared" si="3"/>
        <v>10743.625</v>
      </c>
      <c r="F29" s="335">
        <f t="shared" si="3"/>
        <v>23153.125</v>
      </c>
      <c r="G29" s="335">
        <f t="shared" si="3"/>
        <v>24229.625</v>
      </c>
      <c r="H29" s="335">
        <f t="shared" si="3"/>
        <v>25306.125</v>
      </c>
      <c r="I29" s="335">
        <f t="shared" si="3"/>
        <v>36102.625</v>
      </c>
      <c r="J29" s="335">
        <f t="shared" si="3"/>
        <v>36102.625</v>
      </c>
      <c r="K29" s="335">
        <f t="shared" si="3"/>
        <v>46000.6505</v>
      </c>
      <c r="L29" s="335">
        <f t="shared" si="3"/>
        <v>46000.6505</v>
      </c>
      <c r="M29" s="335">
        <f t="shared" si="3"/>
        <v>55720.6505</v>
      </c>
      <c r="N29" s="335">
        <f t="shared" si="3"/>
        <v>65440.6505</v>
      </c>
      <c r="O29" s="154">
        <f t="shared" si="1"/>
        <v>392287.602</v>
      </c>
    </row>
    <row r="30" ht="13.5" customHeight="1">
      <c r="B30" s="329" t="s">
        <v>241</v>
      </c>
      <c r="C30" s="154">
        <f t="shared" si="4" ref="C30:N30">C12-C29</f>
        <v>3780.375</v>
      </c>
      <c r="D30" s="154">
        <f t="shared" si="4"/>
        <v>7724.375</v>
      </c>
      <c r="E30" s="154">
        <f t="shared" si="4"/>
        <v>7724.375</v>
      </c>
      <c r="F30" s="154">
        <f t="shared" si="4"/>
        <v>10920.875</v>
      </c>
      <c r="G30" s="154">
        <f t="shared" si="4"/>
        <v>11680.375</v>
      </c>
      <c r="H30" s="154">
        <f t="shared" si="4"/>
        <v>10603.875</v>
      </c>
      <c r="I30" s="154">
        <f t="shared" si="4"/>
        <v>17303.375</v>
      </c>
      <c r="J30" s="154">
        <f t="shared" si="4"/>
        <v>19247.375</v>
      </c>
      <c r="K30" s="154">
        <f t="shared" si="4"/>
        <v>24955.3495</v>
      </c>
      <c r="L30" s="154">
        <f t="shared" si="4"/>
        <v>27709.3495</v>
      </c>
      <c r="M30" s="154">
        <f t="shared" si="4"/>
        <v>34513.3495</v>
      </c>
      <c r="N30" s="154">
        <f t="shared" si="4"/>
        <v>43261.3495</v>
      </c>
      <c r="O30" s="154">
        <f t="shared" si="1"/>
        <v>219424.398</v>
      </c>
    </row>
    <row r="31" ht="13.5" customHeight="1">
      <c r="B31" s="329" t="s">
        <v>242</v>
      </c>
      <c r="C31" s="154">
        <f t="shared" si="5" ref="C31:N31">C8+C30</f>
        <v>3780.375</v>
      </c>
      <c r="D31" s="154">
        <f t="shared" si="5"/>
        <v>11504.75</v>
      </c>
      <c r="E31" s="154">
        <f t="shared" si="5"/>
        <v>19229.125</v>
      </c>
      <c r="F31" s="154">
        <f t="shared" si="5"/>
        <v>30150</v>
      </c>
      <c r="G31" s="154">
        <f t="shared" si="5"/>
        <v>41830.375</v>
      </c>
      <c r="H31" s="154">
        <f t="shared" si="5"/>
        <v>52434.25</v>
      </c>
      <c r="I31" s="154">
        <f t="shared" si="5"/>
        <v>69737.625</v>
      </c>
      <c r="J31" s="154">
        <f t="shared" si="5"/>
        <v>88985</v>
      </c>
      <c r="K31" s="154">
        <f t="shared" si="5"/>
        <v>113940.3495</v>
      </c>
      <c r="L31" s="154">
        <f t="shared" si="5"/>
        <v>141649.699</v>
      </c>
      <c r="M31" s="154">
        <f t="shared" si="5"/>
        <v>176163.0485</v>
      </c>
      <c r="N31" s="154">
        <f t="shared" si="5"/>
        <v>219424.398</v>
      </c>
      <c r="O31" s="154"/>
    </row>
    <row r="32" ht="12" customHeight="1">
      <c r="B32" s="329" t="s">
        <v>243</v>
      </c>
      <c r="C32" s="154">
        <f>IF(C31&lt;'4-AdditionalInputs'!$D$24,'4-AdditionalInputs'!$D$24-C31,0)</f>
        <v>0</v>
      </c>
      <c r="D32" s="154">
        <f>IF(D31&lt;'4-AdditionalInputs'!$D$24,'4-AdditionalInputs'!$D$24-D31,0)</f>
        <v>0</v>
      </c>
      <c r="E32" s="154">
        <f>IF(E31&lt;'4-AdditionalInputs'!$D$24,'4-AdditionalInputs'!$D$24-E31,0)</f>
        <v>0</v>
      </c>
      <c r="F32" s="154">
        <f>IF(F31&lt;'4-AdditionalInputs'!$D$24,'4-AdditionalInputs'!$D$24-F31,0)</f>
        <v>0</v>
      </c>
      <c r="G32" s="154">
        <f>IF(G31&lt;'4-AdditionalInputs'!$D$24,'4-AdditionalInputs'!$D$24-G31,0)</f>
        <v>0</v>
      </c>
      <c r="H32" s="154">
        <f>IF(H31&lt;'4-AdditionalInputs'!$D$24,'4-AdditionalInputs'!$D$24-H31,0)</f>
        <v>0</v>
      </c>
      <c r="I32" s="154">
        <f>IF(I31&lt;'4-AdditionalInputs'!$D$24,'4-AdditionalInputs'!$D$24-I31,0)</f>
        <v>0</v>
      </c>
      <c r="J32" s="154">
        <f>IF(J31&lt;'4-AdditionalInputs'!$D$24,'4-AdditionalInputs'!$D$24-J31,0)</f>
        <v>0</v>
      </c>
      <c r="K32" s="154">
        <f>IF(K31&lt;'4-AdditionalInputs'!$D$24,'4-AdditionalInputs'!$D$24-K31,0)</f>
        <v>0</v>
      </c>
      <c r="L32" s="154">
        <f>IF(L31&lt;'4-AdditionalInputs'!$D$24,'4-AdditionalInputs'!$D$24-L31,0)</f>
        <v>0</v>
      </c>
      <c r="M32" s="154">
        <f>IF(M31&lt;'4-AdditionalInputs'!$D$24,'4-AdditionalInputs'!$D$24-M31,0)</f>
        <v>0</v>
      </c>
      <c r="N32" s="154">
        <f>IF(N31&lt;'4-AdditionalInputs'!$D$24,'4-AdditionalInputs'!$D$24-N31,0)</f>
        <v>0</v>
      </c>
      <c r="O32" s="154">
        <f t="shared" si="1"/>
        <v>0</v>
      </c>
    </row>
    <row r="33" ht="13.5" customHeight="1">
      <c r="B33" s="329" t="s">
        <v>244</v>
      </c>
      <c r="C33" s="154">
        <f t="shared" si="6" ref="C33:N33">SUM(C31+C32)</f>
        <v>3780.375</v>
      </c>
      <c r="D33" s="154">
        <f t="shared" si="6"/>
        <v>11504.75</v>
      </c>
      <c r="E33" s="154">
        <f t="shared" si="6"/>
        <v>19229.125</v>
      </c>
      <c r="F33" s="154">
        <f t="shared" si="6"/>
        <v>30150</v>
      </c>
      <c r="G33" s="154">
        <f t="shared" si="6"/>
        <v>41830.375</v>
      </c>
      <c r="H33" s="154">
        <f t="shared" si="6"/>
        <v>52434.25</v>
      </c>
      <c r="I33" s="154">
        <f t="shared" si="6"/>
        <v>69737.625</v>
      </c>
      <c r="J33" s="154">
        <f t="shared" si="6"/>
        <v>88985</v>
      </c>
      <c r="K33" s="154">
        <f t="shared" si="6"/>
        <v>113940.3495</v>
      </c>
      <c r="L33" s="154">
        <f t="shared" si="6"/>
        <v>141649.699</v>
      </c>
      <c r="M33" s="154">
        <f t="shared" si="6"/>
        <v>176163.0485</v>
      </c>
      <c r="N33" s="154">
        <f t="shared" si="6"/>
        <v>219424.398</v>
      </c>
      <c r="O33" s="154"/>
    </row>
    <row r="34" ht="12" customHeight="1">
      <c r="B34" s="114" t="s">
        <v>245</v>
      </c>
      <c r="C34" s="135">
        <f>C32-C27</f>
        <v>0</v>
      </c>
      <c r="D34" s="135">
        <f t="shared" si="7" ref="D34:N34">D32+C34-D27</f>
        <v>0</v>
      </c>
      <c r="E34" s="135">
        <f t="shared" si="7"/>
        <v>0</v>
      </c>
      <c r="F34" s="135">
        <f t="shared" si="7"/>
        <v>0</v>
      </c>
      <c r="G34" s="135">
        <f t="shared" si="7"/>
        <v>0</v>
      </c>
      <c r="H34" s="135">
        <f t="shared" si="7"/>
        <v>0</v>
      </c>
      <c r="I34" s="135">
        <f t="shared" si="7"/>
        <v>0</v>
      </c>
      <c r="J34" s="135">
        <f t="shared" si="7"/>
        <v>0</v>
      </c>
      <c r="K34" s="135">
        <f t="shared" si="7"/>
        <v>0</v>
      </c>
      <c r="L34" s="135">
        <f t="shared" si="7"/>
        <v>0</v>
      </c>
      <c r="M34" s="135">
        <f t="shared" si="7"/>
        <v>0</v>
      </c>
      <c r="N34" s="135">
        <f t="shared" si="7"/>
        <v>0</v>
      </c>
      <c r="O34" s="154"/>
    </row>
  </sheetData>
  <sheetProtection sheet="1" objects="1" formatColumns="0" formatRows="0" password="CC3D"/>
  <mergeCells>
    <mergeCell ref="B2:C2"/>
  </mergeCells>
  <conditionalFormatting sqref="C17:N17">
    <cfRule type="expression" dxfId="0" priority="26" stopIfTrue="1" text="null">
      <formula>LEN(TRIM(C17))=0</formula>
    </cfRule>
  </conditionalFormatting>
  <conditionalFormatting sqref="C25:N25 C27:N28">
    <cfRule type="expression" dxfId="0" priority="27" stopIfTrue="1" text="null">
      <formula>LEN(TRIM(C25))=0</formula>
    </cfRule>
  </conditionalFormatting>
  <conditionalFormatting sqref="C32:N32">
    <cfRule type="expression" dxfId="4" priority="4" text="null">
      <formula>LEN(TRIM(C32))=0</formula>
    </cfRule>
  </conditionalFormatting>
  <conditionalFormatting sqref="C33:N33">
    <cfRule type="expression" dxfId="6" priority="10" stopIfTrue="1" text="null">
      <formula>ISERROR(C33)</formula>
    </cfRule>
  </conditionalFormatting>
  <conditionalFormatting sqref="C29:O29">
    <cfRule type="expression" dxfId="7" priority="13" stopIfTrue="1" text="null">
      <formula>ISERROR(C29)</formula>
    </cfRule>
  </conditionalFormatting>
  <conditionalFormatting sqref="D31:N32 D8:N8 C24:O24 C30:N31">
    <cfRule type="expression" dxfId="6" priority="12" stopIfTrue="1" text="null">
      <formula>ISERROR(C8)</formula>
    </cfRule>
  </conditionalFormatting>
  <conditionalFormatting sqref="O30:O34">
    <cfRule type="expression" dxfId="6" priority="8" stopIfTrue="1" text="null">
      <formula>ISERROR(O30)</formula>
    </cfRule>
  </conditionalFormatting>
  <printOptions/>
  <pageMargins left="0.25" right="0.25" top="0.75" bottom="0.75" header="0.3" footer="0.3"/>
  <pageSetup useFirstPageNumber="1" paperSize="1" scale="85" pageOrder="downThenOver" orientation="landscape"/>
  <headerFooter scaleWithDoc="0">
    <oddHeader>&amp;L&amp;C&amp;"Gill Sans MT,Regular"&amp;12Cash Flow Forecast Year 1&amp;R</oddHeader>
    <oddFooter>&amp;L&amp;"Gill Sans MT,Regular"&amp;12&amp;F&amp;C&amp;"Gill Sans MT,Regular"&amp;12&amp;A&amp;R&amp;"Gill Sans MT,Regular"&amp;12&amp;D &amp;T</oddFooter>
  </headerFooter>
  <legacyDrawing r:id="rId2"/>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5FB3F4E-4DD9-01B8-414A-1258E485982C}" mc:Ignorable="x14ac xr xr2 xr3">
  <sheetPr>
    <tabColor rgb="FFFFC95B"/>
  </sheetPr>
  <dimension ref="A1:GR50000"/>
  <sheetViews>
    <sheetView topLeftCell="A1" workbookViewId="0">
      <selection activeCell="C16" sqref="C16"/>
    </sheetView>
  </sheetViews>
  <sheetFormatPr defaultRowHeight="12" defaultColWidth="8.8515625" customHeight="1"/>
  <cols>
    <col min="1" max="1" style="95" width="29.28125" customWidth="1"/>
    <col min="2" max="2" style="95" width="13.8515625" customWidth="1"/>
    <col min="3" max="10" style="95" width="9.7109375" customWidth="1"/>
    <col min="11" max="11" style="95" width="10.57421875" customWidth="1"/>
    <col min="12" max="14" style="95" width="9.7109375" customWidth="1"/>
    <col min="15" max="15" style="95" width="12.57421875" customWidth="1"/>
    <col min="16" max="27" style="95" width="9.7109375" customWidth="1"/>
    <col min="28" max="28" style="95" width="15.8515625" customWidth="1"/>
  </cols>
  <sheetData>
    <row r="1" ht="12" customHeight="1">
      <c r="B1" s="336" t="s">
        <v>246</v>
      </c>
      <c r="C1" s="325"/>
      <c r="E1" s="325"/>
      <c r="F1" s="325"/>
      <c r="G1" s="325"/>
      <c r="H1" s="325"/>
      <c r="P1" s="326"/>
      <c r="Q1" s="326"/>
    </row>
    <row r="2" ht="12" customHeight="1">
      <c r="H2" s="252"/>
    </row>
    <row r="3" ht="19.5" customHeight="1">
      <c r="B3" s="137" t="s">
        <v>19</v>
      </c>
      <c r="C3" s="137" t="s">
        <v>20</v>
      </c>
      <c r="H3" s="252"/>
    </row>
    <row r="4" ht="19.5" customHeight="1">
      <c r="B4" s="95" t="str">
        <f>IF(ISBLANK(Directions!C10),"Owner",Directions!C10)</f>
        <v>Owner</v>
      </c>
      <c r="C4" s="95" t="str">
        <f>IF(ISBLANK(Directions!D10),"Company 1",Directions!D10)</f>
        <v>Company 1</v>
      </c>
      <c r="H4" s="252"/>
    </row>
    <row r="6" ht="14.25" customHeight="1">
      <c r="A6" s="96"/>
      <c r="B6" s="96" t="s">
        <v>106</v>
      </c>
      <c r="C6" s="96" t="str">
        <f>'3a-SalesForecastYear1'!C16</f>
        <v>Month 1</v>
      </c>
      <c r="D6" s="96" t="str">
        <f>'3a-SalesForecastYear1'!D16</f>
        <v>Month 2</v>
      </c>
      <c r="E6" s="96" t="str">
        <f>'3a-SalesForecastYear1'!E16</f>
        <v>Month 3</v>
      </c>
      <c r="F6" s="96" t="str">
        <f>'3a-SalesForecastYear1'!F16</f>
        <v>Month 4</v>
      </c>
      <c r="G6" s="96" t="str">
        <f>'3a-SalesForecastYear1'!G16</f>
        <v>Month 5</v>
      </c>
      <c r="H6" s="96" t="str">
        <f>'3a-SalesForecastYear1'!H16</f>
        <v>Month 6</v>
      </c>
      <c r="I6" s="96" t="str">
        <f>'3a-SalesForecastYear1'!I16</f>
        <v>Month 7</v>
      </c>
      <c r="J6" s="96" t="str">
        <f>'3a-SalesForecastYear1'!J16</f>
        <v>Month 8</v>
      </c>
      <c r="K6" s="96" t="str">
        <f>'3a-SalesForecastYear1'!K16</f>
        <v>Month 9</v>
      </c>
      <c r="L6" s="96" t="str">
        <f>'3a-SalesForecastYear1'!L16</f>
        <v>Month 10</v>
      </c>
      <c r="M6" s="96" t="str">
        <f>'3a-SalesForecastYear1'!M16</f>
        <v>Month 11</v>
      </c>
      <c r="N6" s="96" t="str">
        <f>'3a-SalesForecastYear1'!N16</f>
        <v>Month 12</v>
      </c>
      <c r="O6" s="96" t="s">
        <v>145</v>
      </c>
      <c r="P6" s="96" t="str">
        <f t="shared" si="0" ref="P6:AA6">C6</f>
        <v>Month 1</v>
      </c>
      <c r="Q6" s="96" t="str">
        <f t="shared" si="0"/>
        <v>Month 2</v>
      </c>
      <c r="R6" s="96" t="str">
        <f t="shared" si="0"/>
        <v>Month 3</v>
      </c>
      <c r="S6" s="96" t="str">
        <f t="shared" si="0"/>
        <v>Month 4</v>
      </c>
      <c r="T6" s="96" t="str">
        <f t="shared" si="0"/>
        <v>Month 5</v>
      </c>
      <c r="U6" s="96" t="str">
        <f t="shared" si="0"/>
        <v>Month 6</v>
      </c>
      <c r="V6" s="96" t="str">
        <f t="shared" si="0"/>
        <v>Month 7</v>
      </c>
      <c r="W6" s="96" t="str">
        <f t="shared" si="0"/>
        <v>Month 8</v>
      </c>
      <c r="X6" s="96" t="str">
        <f t="shared" si="0"/>
        <v>Month 9</v>
      </c>
      <c r="Y6" s="96" t="str">
        <f t="shared" si="0"/>
        <v>Month 10</v>
      </c>
      <c r="Z6" s="96" t="str">
        <f t="shared" si="0"/>
        <v>Month 11</v>
      </c>
      <c r="AA6" s="96" t="str">
        <f t="shared" si="0"/>
        <v>Month 12</v>
      </c>
      <c r="AB6" s="96" t="s">
        <v>146</v>
      </c>
    </row>
    <row r="7" ht="13.5" customHeight="1">
      <c r="A7" s="327" t="s">
        <v>220</v>
      </c>
      <c r="B7" s="327"/>
      <c r="C7" s="322">
        <f>Y1EndingCashBal</f>
        <v>219424.398</v>
      </c>
      <c r="D7" s="322">
        <f t="shared" si="1" ref="D7:AA7">C32</f>
        <v>273847.721133333</v>
      </c>
      <c r="E7" s="322">
        <f t="shared" si="1"/>
        <v>330387.304266666</v>
      </c>
      <c r="F7" s="322">
        <f t="shared" si="1"/>
        <v>389106.635199999</v>
      </c>
      <c r="G7" s="322">
        <f t="shared" si="1"/>
        <v>450071.106367332</v>
      </c>
      <c r="H7" s="322">
        <f t="shared" si="1"/>
        <v>513348.071975685</v>
      </c>
      <c r="I7" s="322">
        <f t="shared" si="1"/>
        <v>579006.906858289</v>
      </c>
      <c r="J7" s="322">
        <f t="shared" si="1"/>
        <v>647119.067093371</v>
      </c>
      <c r="K7" s="322">
        <f t="shared" si="1"/>
        <v>717758.152441505</v>
      </c>
      <c r="L7" s="322">
        <f t="shared" si="1"/>
        <v>790999.970656084</v>
      </c>
      <c r="M7" s="322">
        <f t="shared" si="1"/>
        <v>866922.6037231</v>
      </c>
      <c r="N7" s="322">
        <f t="shared" si="1"/>
        <v>945606.476088127</v>
      </c>
      <c r="O7" s="337"/>
      <c r="P7" s="322">
        <f>N32</f>
        <v>1027134.4249301</v>
      </c>
      <c r="Q7" s="322">
        <f t="shared" si="1"/>
        <v>1106509.78321208</v>
      </c>
      <c r="R7" s="322">
        <f t="shared" si="1"/>
        <v>1187838.07400823</v>
      </c>
      <c r="S7" s="322">
        <f t="shared" si="1"/>
        <v>1271158.35596884</v>
      </c>
      <c r="T7" s="322">
        <f t="shared" si="1"/>
        <v>1356510.46891719</v>
      </c>
      <c r="U7" s="322">
        <f t="shared" si="1"/>
        <v>1443935.04947304</v>
      </c>
      <c r="V7" s="322">
        <f t="shared" si="1"/>
        <v>1533473.54698854</v>
      </c>
      <c r="W7" s="322">
        <f t="shared" si="1"/>
        <v>1625168.23980289</v>
      </c>
      <c r="X7" s="322">
        <f t="shared" si="1"/>
        <v>1719062.25182206</v>
      </c>
      <c r="Y7" s="322">
        <f t="shared" si="1"/>
        <v>1815199.56943014</v>
      </c>
      <c r="Z7" s="322">
        <f t="shared" si="1"/>
        <v>1913625.05873892</v>
      </c>
      <c r="AA7" s="322">
        <f t="shared" si="1"/>
        <v>2014384.48318241</v>
      </c>
      <c r="AB7" s="337"/>
    </row>
    <row r="8" ht="12" customHeight="1">
      <c r="A8" s="329" t="s">
        <v>221</v>
      </c>
      <c r="B8" s="329"/>
      <c r="C8" s="330"/>
      <c r="D8" s="330"/>
      <c r="E8" s="330"/>
      <c r="F8" s="330"/>
      <c r="G8" s="330"/>
      <c r="H8" s="330"/>
      <c r="I8" s="330"/>
      <c r="J8" s="330"/>
      <c r="K8" s="330"/>
      <c r="L8" s="330"/>
      <c r="M8" s="330"/>
      <c r="N8" s="330"/>
      <c r="O8" s="338"/>
      <c r="P8" s="330"/>
      <c r="Q8" s="330"/>
      <c r="R8" s="330"/>
      <c r="S8" s="330"/>
      <c r="T8" s="330"/>
      <c r="U8" s="330"/>
      <c r="V8" s="330"/>
      <c r="W8" s="330"/>
      <c r="X8" s="330"/>
      <c r="Y8" s="330"/>
      <c r="Z8" s="330"/>
      <c r="AA8" s="330"/>
      <c r="AB8" s="338"/>
    </row>
    <row r="9" ht="13.5" customHeight="1">
      <c r="A9" s="331" t="s">
        <v>222</v>
      </c>
      <c r="B9" s="339">
        <f>'6a-CashFlowYear1'!O10</f>
        <v>611712</v>
      </c>
      <c r="C9" s="151">
        <f>('3b-SalesForecastYrs1-3'!C47*'4-AdditionalInputs'!$D$9)</f>
        <v>108702</v>
      </c>
      <c r="D9" s="151">
        <f>('3b-SalesForecastYrs1-3'!D47*'4-AdditionalInputs'!$D$9)</f>
        <v>111963.06</v>
      </c>
      <c r="E9" s="151">
        <f>('3b-SalesForecastYrs1-3'!E47*'4-AdditionalInputs'!$D$9)</f>
        <v>115321.9518</v>
      </c>
      <c r="F9" s="151">
        <f>('3b-SalesForecastYrs1-3'!F47*'4-AdditionalInputs'!$D$9)</f>
        <v>118781.610354</v>
      </c>
      <c r="G9" s="151">
        <f>('3b-SalesForecastYrs1-3'!G47*'4-AdditionalInputs'!$D$9)</f>
        <v>122345.05866462</v>
      </c>
      <c r="H9" s="151">
        <f>('3b-SalesForecastYrs1-3'!H47*'4-AdditionalInputs'!$D$9)</f>
        <v>126015.410424559</v>
      </c>
      <c r="I9" s="151">
        <f>('3b-SalesForecastYrs1-3'!I47*'4-AdditionalInputs'!$D$9)</f>
        <v>129795.872737295</v>
      </c>
      <c r="J9" s="151">
        <f>('3b-SalesForecastYrs1-3'!J47*'4-AdditionalInputs'!$D$9)</f>
        <v>133689.748919414</v>
      </c>
      <c r="K9" s="151">
        <f>('3b-SalesForecastYrs1-3'!K47*'4-AdditionalInputs'!$D$9)</f>
        <v>137700.441386997</v>
      </c>
      <c r="L9" s="151">
        <f>('3b-SalesForecastYrs1-3'!L47*'4-AdditionalInputs'!$D$9)</f>
        <v>141831.454628607</v>
      </c>
      <c r="M9" s="151">
        <f>('3b-SalesForecastYrs1-3'!M47*'4-AdditionalInputs'!$D$9)</f>
        <v>146086.398267465</v>
      </c>
      <c r="N9" s="151">
        <f>('3b-SalesForecastYrs1-3'!N47*'4-AdditionalInputs'!$D$9)</f>
        <v>150468.990215488</v>
      </c>
      <c r="O9" s="161">
        <f t="shared" si="2" ref="O9:AB31">SUM(C9:N9)</f>
        <v>1542701.99739845</v>
      </c>
      <c r="P9" s="151">
        <f>('3b-SalesForecastYrs1-3'!R47*'4-AdditionalInputs'!$E$9)</f>
        <v>150468.990215488</v>
      </c>
      <c r="Q9" s="151">
        <f>('3b-SalesForecastYrs1-3'!S47*'4-AdditionalInputs'!$E$9)</f>
        <v>153478.370019798</v>
      </c>
      <c r="R9" s="151">
        <f>('3b-SalesForecastYrs1-3'!T47*'4-AdditionalInputs'!$E$9)</f>
        <v>156547.937420195</v>
      </c>
      <c r="S9" s="151">
        <f>('3b-SalesForecastYrs1-3'!U47*'4-AdditionalInputs'!$E$9)</f>
        <v>159678.896168599</v>
      </c>
      <c r="T9" s="151">
        <f>('3b-SalesForecastYrs1-3'!V47*'4-AdditionalInputs'!$E$9)</f>
        <v>162872.474091971</v>
      </c>
      <c r="U9" s="151">
        <f>('3b-SalesForecastYrs1-3'!W47*'4-AdditionalInputs'!$E$9)</f>
        <v>166129.923573811</v>
      </c>
      <c r="V9" s="151">
        <f>('3b-SalesForecastYrs1-3'!X47*'4-AdditionalInputs'!$E$9)</f>
        <v>169452.522045287</v>
      </c>
      <c r="W9" s="151">
        <f>('3b-SalesForecastYrs1-3'!Y47*'4-AdditionalInputs'!$E$9)</f>
        <v>172841.572486193</v>
      </c>
      <c r="X9" s="151">
        <f>('3b-SalesForecastYrs1-3'!Z47*'4-AdditionalInputs'!$E$9)</f>
        <v>176298.403935917</v>
      </c>
      <c r="Y9" s="151">
        <f>('3b-SalesForecastYrs1-3'!AA47*'4-AdditionalInputs'!$E$9)</f>
        <v>179824.372014635</v>
      </c>
      <c r="Z9" s="151">
        <f>('3b-SalesForecastYrs1-3'!AB47*'4-AdditionalInputs'!$E$9)</f>
        <v>183420.859454928</v>
      </c>
      <c r="AA9" s="151">
        <f>('3b-SalesForecastYrs1-3'!AC47*'4-AdditionalInputs'!$E$9)</f>
        <v>187089.276644026</v>
      </c>
      <c r="AB9" s="161">
        <f t="shared" si="2"/>
        <v>2018103.59807085</v>
      </c>
    </row>
    <row r="10" ht="12" customHeight="1">
      <c r="A10" s="331" t="s">
        <v>223</v>
      </c>
      <c r="B10" s="339">
        <f>'6a-CashFlowYear1'!O11</f>
        <v>0</v>
      </c>
      <c r="C10" s="151">
        <f>('3a-SalesForecastYear1'!M53*'4-AdditionalInputs'!D11)+('3a-SalesForecastYear1'!N53*'4-AdditionalInputs'!D10)</f>
        <v>0</v>
      </c>
      <c r="D10" s="151">
        <f>('3a-SalesForecastYear1'!N53*'4-AdditionalInputs'!$D$11)+('3b-SalesForecastYrs1-3'!C47*'4-AdditionalInputs'!$D$10)</f>
        <v>0</v>
      </c>
      <c r="E10" s="151">
        <f>('3b-SalesForecastYrs1-3'!C47*'4-AdditionalInputs'!$D$11)+('3b-SalesForecastYrs1-3'!D47*'4-AdditionalInputs'!$D$10)</f>
        <v>0</v>
      </c>
      <c r="F10" s="151">
        <f>('3b-SalesForecastYrs1-3'!D47*'4-AdditionalInputs'!$D$11)+('3b-SalesForecastYrs1-3'!E47*'4-AdditionalInputs'!$D$10)</f>
        <v>0</v>
      </c>
      <c r="G10" s="151">
        <f>('3b-SalesForecastYrs1-3'!E47*'4-AdditionalInputs'!$D$11)+('3b-SalesForecastYrs1-3'!F47*'4-AdditionalInputs'!$D$10)</f>
        <v>0</v>
      </c>
      <c r="H10" s="151">
        <f>('3b-SalesForecastYrs1-3'!F47*'4-AdditionalInputs'!$D$11)+('3b-SalesForecastYrs1-3'!G47*'4-AdditionalInputs'!$D$10)</f>
        <v>0</v>
      </c>
      <c r="I10" s="151">
        <f>('3b-SalesForecastYrs1-3'!G47*'4-AdditionalInputs'!$D$11)+('3b-SalesForecastYrs1-3'!H47*'4-AdditionalInputs'!$D$10)</f>
        <v>0</v>
      </c>
      <c r="J10" s="151">
        <f>('3b-SalesForecastYrs1-3'!H47*'4-AdditionalInputs'!$D$11)+('3b-SalesForecastYrs1-3'!I47*'4-AdditionalInputs'!$D$10)</f>
        <v>0</v>
      </c>
      <c r="K10" s="151">
        <f>('3b-SalesForecastYrs1-3'!I47*'4-AdditionalInputs'!$D$11)+('3b-SalesForecastYrs1-3'!J47*'4-AdditionalInputs'!$D$10)</f>
        <v>0</v>
      </c>
      <c r="L10" s="151">
        <f>('3b-SalesForecastYrs1-3'!J47*'4-AdditionalInputs'!$D$11)+('3b-SalesForecastYrs1-3'!K47*'4-AdditionalInputs'!$D$10)</f>
        <v>0</v>
      </c>
      <c r="M10" s="151">
        <f>('3b-SalesForecastYrs1-3'!K47*'4-AdditionalInputs'!$D$11)+('3b-SalesForecastYrs1-3'!L47*'4-AdditionalInputs'!$D$10)</f>
        <v>0</v>
      </c>
      <c r="N10" s="151">
        <f>('3b-SalesForecastYrs1-3'!L47*'4-AdditionalInputs'!$D$11)+('3b-SalesForecastYrs1-3'!M47*'4-AdditionalInputs'!$D$10)</f>
        <v>0</v>
      </c>
      <c r="O10" s="161">
        <f t="shared" si="2"/>
        <v>0</v>
      </c>
      <c r="P10" s="151">
        <f>('3b-SalesForecastYrs1-3'!M47*'4-AdditionalInputs'!E11)+('3b-SalesForecastYrs1-3'!N47*'4-AdditionalInputs'!E10)</f>
        <v>0</v>
      </c>
      <c r="Q10" s="151">
        <f>('3b-SalesForecastYrs1-3'!N47*'4-AdditionalInputs'!E11)+('3b-SalesForecastYrs1-3'!R47*'4-AdditionalInputs'!E10)</f>
        <v>0</v>
      </c>
      <c r="R10" s="151">
        <f>('3b-SalesForecastYrs1-3'!R47*'4-AdditionalInputs'!$E$11)+('3b-SalesForecastYrs1-3'!S47*'4-AdditionalInputs'!$E$10)</f>
        <v>0</v>
      </c>
      <c r="S10" s="151">
        <f>('3b-SalesForecastYrs1-3'!S47*'4-AdditionalInputs'!$E$11)+('3b-SalesForecastYrs1-3'!T47*'4-AdditionalInputs'!$E$10)</f>
        <v>0</v>
      </c>
      <c r="T10" s="151">
        <f>('3b-SalesForecastYrs1-3'!T47*'4-AdditionalInputs'!$E$11)+('3b-SalesForecastYrs1-3'!U47*'4-AdditionalInputs'!$E$10)</f>
        <v>0</v>
      </c>
      <c r="U10" s="151">
        <f>('3b-SalesForecastYrs1-3'!U47*'4-AdditionalInputs'!$E$11)+('3b-SalesForecastYrs1-3'!V47*'4-AdditionalInputs'!$E$10)</f>
        <v>0</v>
      </c>
      <c r="V10" s="151">
        <f>('3b-SalesForecastYrs1-3'!V47*'4-AdditionalInputs'!$E$11)+('3b-SalesForecastYrs1-3'!W47*'4-AdditionalInputs'!$E$10)</f>
        <v>0</v>
      </c>
      <c r="W10" s="151">
        <f>('3b-SalesForecastYrs1-3'!W47*'4-AdditionalInputs'!$E$11)+('3b-SalesForecastYrs1-3'!X47*'4-AdditionalInputs'!$E$10)</f>
        <v>0</v>
      </c>
      <c r="X10" s="151">
        <f>('3b-SalesForecastYrs1-3'!X47*'4-AdditionalInputs'!$E$11)+('3b-SalesForecastYrs1-3'!Y47*'4-AdditionalInputs'!$E$10)</f>
        <v>0</v>
      </c>
      <c r="Y10" s="151">
        <f>('3b-SalesForecastYrs1-3'!Y47*'4-AdditionalInputs'!$E$11)+('3b-SalesForecastYrs1-3'!Z47*'4-AdditionalInputs'!$E$10)</f>
        <v>0</v>
      </c>
      <c r="Z10" s="151">
        <f>('3b-SalesForecastYrs1-3'!Z47*'4-AdditionalInputs'!$E$11)+('3b-SalesForecastYrs1-3'!AA47*'4-AdditionalInputs'!$E$10)</f>
        <v>0</v>
      </c>
      <c r="AA10" s="151">
        <f>('3b-SalesForecastYrs1-3'!AA47*'4-AdditionalInputs'!$E$11)+('3b-SalesForecastYrs1-3'!AB47*'4-AdditionalInputs'!$E$10)</f>
        <v>0</v>
      </c>
      <c r="AB10" s="161">
        <f t="shared" si="2"/>
        <v>0</v>
      </c>
    </row>
    <row r="11" ht="13.5" customHeight="1">
      <c r="A11" s="114" t="s">
        <v>224</v>
      </c>
      <c r="B11" s="339">
        <f>'6a-CashFlowYear1'!O12</f>
        <v>611712</v>
      </c>
      <c r="C11" s="154">
        <f t="shared" si="3" ref="C11:AB11">SUM(C9:C10)</f>
        <v>108702</v>
      </c>
      <c r="D11" s="154">
        <f t="shared" si="3"/>
        <v>111963.06</v>
      </c>
      <c r="E11" s="154">
        <f t="shared" si="3"/>
        <v>115321.9518</v>
      </c>
      <c r="F11" s="154">
        <f t="shared" si="3"/>
        <v>118781.610354</v>
      </c>
      <c r="G11" s="154">
        <f t="shared" si="3"/>
        <v>122345.05866462</v>
      </c>
      <c r="H11" s="154">
        <f t="shared" si="3"/>
        <v>126015.410424559</v>
      </c>
      <c r="I11" s="154">
        <f t="shared" si="3"/>
        <v>129795.872737295</v>
      </c>
      <c r="J11" s="154">
        <f t="shared" si="3"/>
        <v>133689.748919414</v>
      </c>
      <c r="K11" s="154">
        <f t="shared" si="3"/>
        <v>137700.441386997</v>
      </c>
      <c r="L11" s="154">
        <f t="shared" si="3"/>
        <v>141831.454628607</v>
      </c>
      <c r="M11" s="154">
        <f t="shared" si="3"/>
        <v>146086.398267465</v>
      </c>
      <c r="N11" s="154">
        <f t="shared" si="3"/>
        <v>150468.990215488</v>
      </c>
      <c r="O11" s="161">
        <f t="shared" si="3"/>
        <v>1542701.99739845</v>
      </c>
      <c r="P11" s="151">
        <f t="shared" si="3"/>
        <v>150468.990215488</v>
      </c>
      <c r="Q11" s="151">
        <f t="shared" si="3"/>
        <v>153478.370019798</v>
      </c>
      <c r="R11" s="151">
        <f t="shared" si="3"/>
        <v>156547.937420195</v>
      </c>
      <c r="S11" s="151">
        <f t="shared" si="3"/>
        <v>159678.896168599</v>
      </c>
      <c r="T11" s="151">
        <f t="shared" si="3"/>
        <v>162872.474091971</v>
      </c>
      <c r="U11" s="151">
        <f t="shared" si="3"/>
        <v>166129.923573811</v>
      </c>
      <c r="V11" s="151">
        <f t="shared" si="3"/>
        <v>169452.522045287</v>
      </c>
      <c r="W11" s="151">
        <f t="shared" si="3"/>
        <v>172841.572486193</v>
      </c>
      <c r="X11" s="151">
        <f t="shared" si="3"/>
        <v>176298.403935917</v>
      </c>
      <c r="Y11" s="151">
        <f t="shared" si="3"/>
        <v>179824.372014635</v>
      </c>
      <c r="Z11" s="151">
        <f t="shared" si="3"/>
        <v>183420.859454928</v>
      </c>
      <c r="AA11" s="151">
        <f t="shared" si="3"/>
        <v>187089.276644026</v>
      </c>
      <c r="AB11" s="161">
        <f t="shared" si="3"/>
        <v>2018103.59807085</v>
      </c>
    </row>
    <row r="12" ht="12" customHeight="1">
      <c r="A12" s="114"/>
      <c r="B12" s="339"/>
      <c r="C12" s="151"/>
      <c r="D12" s="151"/>
      <c r="E12" s="151"/>
      <c r="F12" s="151"/>
      <c r="G12" s="151"/>
      <c r="H12" s="151"/>
      <c r="I12" s="151"/>
      <c r="J12" s="151"/>
      <c r="K12" s="151"/>
      <c r="L12" s="151"/>
      <c r="M12" s="151"/>
      <c r="N12" s="151"/>
      <c r="O12" s="161"/>
      <c r="P12" s="151"/>
      <c r="Q12" s="151"/>
      <c r="R12" s="151"/>
      <c r="S12" s="151"/>
      <c r="T12" s="151"/>
      <c r="U12" s="151"/>
      <c r="V12" s="151"/>
      <c r="W12" s="151"/>
      <c r="X12" s="151"/>
      <c r="Y12" s="151"/>
      <c r="Z12" s="151"/>
      <c r="AA12" s="151"/>
      <c r="AB12" s="161"/>
    </row>
    <row r="13" ht="12" customHeight="1">
      <c r="A13" s="329" t="s">
        <v>225</v>
      </c>
      <c r="B13" s="339"/>
      <c r="C13" s="151"/>
      <c r="D13" s="151"/>
      <c r="E13" s="151"/>
      <c r="F13" s="151"/>
      <c r="G13" s="151"/>
      <c r="H13" s="151"/>
      <c r="I13" s="151"/>
      <c r="J13" s="151"/>
      <c r="K13" s="151"/>
      <c r="L13" s="151"/>
      <c r="M13" s="151"/>
      <c r="N13" s="151"/>
      <c r="O13" s="161"/>
      <c r="P13" s="151"/>
      <c r="Q13" s="151"/>
      <c r="R13" s="151"/>
      <c r="S13" s="151"/>
      <c r="T13" s="151"/>
      <c r="U13" s="151"/>
      <c r="V13" s="151"/>
      <c r="W13" s="151"/>
      <c r="X13" s="151"/>
      <c r="Y13" s="151"/>
      <c r="Z13" s="151"/>
      <c r="AA13" s="151"/>
      <c r="AB13" s="161"/>
    </row>
    <row r="14" ht="12" customHeight="1">
      <c r="A14" s="331" t="s">
        <v>226</v>
      </c>
      <c r="B14" s="339"/>
      <c r="C14" s="151"/>
      <c r="D14" s="151"/>
      <c r="E14" s="151"/>
      <c r="F14" s="151"/>
      <c r="G14" s="151"/>
      <c r="H14" s="151"/>
      <c r="I14" s="151"/>
      <c r="J14" s="151"/>
      <c r="K14" s="151"/>
      <c r="L14" s="151"/>
      <c r="M14" s="151"/>
      <c r="N14" s="151"/>
      <c r="O14" s="161"/>
      <c r="P14" s="151"/>
      <c r="Q14" s="151"/>
      <c r="R14" s="151"/>
      <c r="S14" s="151"/>
      <c r="T14" s="151"/>
      <c r="U14" s="151"/>
      <c r="V14" s="151"/>
      <c r="W14" s="151"/>
      <c r="X14" s="151"/>
      <c r="Y14" s="151"/>
      <c r="Z14" s="151"/>
      <c r="AA14" s="151"/>
      <c r="AB14" s="161"/>
    </row>
    <row r="15" ht="12" customHeight="1">
      <c r="A15" s="333" t="s">
        <v>227</v>
      </c>
      <c r="B15" s="339">
        <f>'6a-CashFlowYear1'!O16</f>
        <v>0</v>
      </c>
      <c r="C15" s="151">
        <f>'4-AdditionalInputs'!$Q$35/12</f>
        <v>0</v>
      </c>
      <c r="D15" s="151">
        <f>'4-AdditionalInputs'!$Q$35/12</f>
        <v>0</v>
      </c>
      <c r="E15" s="151">
        <f>'4-AdditionalInputs'!$Q$35/12</f>
        <v>0</v>
      </c>
      <c r="F15" s="151">
        <f>'4-AdditionalInputs'!$Q$35/12</f>
        <v>0</v>
      </c>
      <c r="G15" s="151">
        <f>'4-AdditionalInputs'!$Q$35/12</f>
        <v>0</v>
      </c>
      <c r="H15" s="151">
        <f>'4-AdditionalInputs'!$Q$35/12</f>
        <v>0</v>
      </c>
      <c r="I15" s="151">
        <f>'4-AdditionalInputs'!$Q$35/12</f>
        <v>0</v>
      </c>
      <c r="J15" s="151">
        <f>'4-AdditionalInputs'!$Q$35/12</f>
        <v>0</v>
      </c>
      <c r="K15" s="151">
        <f>'4-AdditionalInputs'!$Q$35/12</f>
        <v>0</v>
      </c>
      <c r="L15" s="151">
        <f>'4-AdditionalInputs'!$Q$35/12</f>
        <v>0</v>
      </c>
      <c r="M15" s="151">
        <f>'4-AdditionalInputs'!$Q$35/12</f>
        <v>0</v>
      </c>
      <c r="N15" s="151">
        <f>'4-AdditionalInputs'!$Q$35/12</f>
        <v>0</v>
      </c>
      <c r="O15" s="161">
        <f t="shared" si="2"/>
        <v>0</v>
      </c>
      <c r="P15" s="151">
        <f>'4-AdditionalInputs'!$R$35/12</f>
        <v>0</v>
      </c>
      <c r="Q15" s="151">
        <f>'4-AdditionalInputs'!$R$35/12</f>
        <v>0</v>
      </c>
      <c r="R15" s="151">
        <f>'4-AdditionalInputs'!$R$35/12</f>
        <v>0</v>
      </c>
      <c r="S15" s="151">
        <f>'4-AdditionalInputs'!$R$35/12</f>
        <v>0</v>
      </c>
      <c r="T15" s="151">
        <f>'4-AdditionalInputs'!$R$35/12</f>
        <v>0</v>
      </c>
      <c r="U15" s="151">
        <f>'4-AdditionalInputs'!$R$35/12</f>
        <v>0</v>
      </c>
      <c r="V15" s="151">
        <f>'4-AdditionalInputs'!$R$35/12</f>
        <v>0</v>
      </c>
      <c r="W15" s="151">
        <f>'4-AdditionalInputs'!$R$35/12</f>
        <v>0</v>
      </c>
      <c r="X15" s="151">
        <f>'4-AdditionalInputs'!$R$35/12</f>
        <v>0</v>
      </c>
      <c r="Y15" s="151">
        <f>'4-AdditionalInputs'!$R$35/12</f>
        <v>0</v>
      </c>
      <c r="Z15" s="151">
        <f>'4-AdditionalInputs'!$R$35/12</f>
        <v>0</v>
      </c>
      <c r="AA15" s="151">
        <f>'4-AdditionalInputs'!$R$35/12</f>
        <v>0</v>
      </c>
      <c r="AB15" s="161">
        <f t="shared" si="2"/>
        <v>0</v>
      </c>
    </row>
    <row r="16" ht="12" customHeight="1">
      <c r="A16" s="333" t="s">
        <v>228</v>
      </c>
      <c r="B16" s="339">
        <f>+'6a-CashFlowYear1'!O17</f>
        <v>0</v>
      </c>
      <c r="C16" s="305"/>
      <c r="D16" s="305"/>
      <c r="E16" s="305"/>
      <c r="F16" s="305"/>
      <c r="G16" s="305"/>
      <c r="H16" s="305"/>
      <c r="I16" s="305"/>
      <c r="J16" s="305"/>
      <c r="K16" s="305"/>
      <c r="L16" s="305"/>
      <c r="M16" s="305"/>
      <c r="N16" s="305"/>
      <c r="O16" s="161">
        <f t="shared" si="2"/>
        <v>0</v>
      </c>
      <c r="P16" s="305"/>
      <c r="Q16" s="305"/>
      <c r="R16" s="305"/>
      <c r="S16" s="305"/>
      <c r="T16" s="305"/>
      <c r="U16" s="305"/>
      <c r="V16" s="305"/>
      <c r="W16" s="305"/>
      <c r="X16" s="305"/>
      <c r="Y16" s="305"/>
      <c r="Z16" s="305"/>
      <c r="AA16" s="305"/>
      <c r="AB16" s="161">
        <f t="shared" si="2"/>
        <v>0</v>
      </c>
    </row>
    <row r="17" ht="13.5" customHeight="1">
      <c r="A17" s="333" t="s">
        <v>229</v>
      </c>
      <c r="B17" s="339">
        <f>'6a-CashFlowYear1'!O18</f>
        <v>215640</v>
      </c>
      <c r="C17" s="151">
        <f>('3b-SalesForecastYrs1-3'!C48*'4-AdditionalInputs'!$D$17)+('3a-SalesForecastYear1'!N54*'4-AdditionalInputs'!$D$18)+('3a-SalesForecastYear1'!M54*'4-AdditionalInputs'!$D$19)</f>
        <v>38160</v>
      </c>
      <c r="D17" s="151">
        <f>('3b-SalesForecastYrs1-3'!D48*'4-AdditionalInputs'!$D$17)+('3b-SalesForecastYrs1-3'!C48*'4-AdditionalInputs'!$D$18)+('3a-SalesForecastYear1'!N54*'4-AdditionalInputs'!$D$19)</f>
        <v>39304.8</v>
      </c>
      <c r="E17" s="151">
        <f>('3b-SalesForecastYrs1-3'!E48*'4-AdditionalInputs'!$D$17)+('3b-SalesForecastYrs1-3'!D48*'4-AdditionalInputs'!$D$18)+('3b-SalesForecastYrs1-3'!C48*'4-AdditionalInputs'!$D$19)</f>
        <v>40483.944</v>
      </c>
      <c r="F17" s="151">
        <f>('3b-SalesForecastYrs1-3'!F48*'4-AdditionalInputs'!$D$17)+('3b-SalesForecastYrs1-3'!E48*'4-AdditionalInputs'!$D$18)+('3b-SalesForecastYrs1-3'!D48*'4-AdditionalInputs'!$D$19)</f>
        <v>41698.46232</v>
      </c>
      <c r="G17" s="151">
        <f>('3b-SalesForecastYrs1-3'!G48*'4-AdditionalInputs'!$D$17)+('3b-SalesForecastYrs1-3'!F48*'4-AdditionalInputs'!$D$18)+('3b-SalesForecastYrs1-3'!E48*'4-AdditionalInputs'!$D$19)</f>
        <v>42949.4161896</v>
      </c>
      <c r="H17" s="151">
        <f>('3b-SalesForecastYrs1-3'!H48*'4-AdditionalInputs'!$D$17)+('3b-SalesForecastYrs1-3'!G48*'4-AdditionalInputs'!$D$18)+('3b-SalesForecastYrs1-3'!F48*'4-AdditionalInputs'!$D$19)</f>
        <v>44237.898675288</v>
      </c>
      <c r="I17" s="151">
        <f>('3b-SalesForecastYrs1-3'!I48*'4-AdditionalInputs'!$D$17)+('3b-SalesForecastYrs1-3'!H48*'4-AdditionalInputs'!$D$18)+('3b-SalesForecastYrs1-3'!G48*'4-AdditionalInputs'!$D$19)</f>
        <v>45565.0356355466</v>
      </c>
      <c r="J17" s="151">
        <f>('3b-SalesForecastYrs1-3'!J48*'4-AdditionalInputs'!$D$17)+('3b-SalesForecastYrs1-3'!I48*'4-AdditionalInputs'!$D$18)+('3b-SalesForecastYrs1-3'!H48*'4-AdditionalInputs'!$D$19)</f>
        <v>46931.986704613</v>
      </c>
      <c r="K17" s="151">
        <f>('3b-SalesForecastYrs1-3'!K48*'4-AdditionalInputs'!$D$17)+('3b-SalesForecastYrs1-3'!J48*'4-AdditionalInputs'!$D$18)+('3b-SalesForecastYrs1-3'!I48*'4-AdditionalInputs'!$D$19)</f>
        <v>48339.9463057514</v>
      </c>
      <c r="L17" s="151">
        <f>('3b-SalesForecastYrs1-3'!L48*'4-AdditionalInputs'!$D$17)+('3b-SalesForecastYrs1-3'!K48*'4-AdditionalInputs'!$D$18)+('3b-SalesForecastYrs1-3'!J48*'4-AdditionalInputs'!$D$19)</f>
        <v>49790.144694924</v>
      </c>
      <c r="M17" s="151">
        <f>('3b-SalesForecastYrs1-3'!M48*'4-AdditionalInputs'!$D$17)+('3b-SalesForecastYrs1-3'!L48*'4-AdditionalInputs'!$D$18)+('3b-SalesForecastYrs1-3'!K48*'4-AdditionalInputs'!$D$19)</f>
        <v>51283.8490357718</v>
      </c>
      <c r="N17" s="151">
        <f>('3b-SalesForecastYrs1-3'!N48*'4-AdditionalInputs'!$D$17)+('3b-SalesForecastYrs1-3'!M48*'4-AdditionalInputs'!$D$18)+('3b-SalesForecastYrs1-3'!L48*'4-AdditionalInputs'!$D$19)</f>
        <v>52822.3645068448</v>
      </c>
      <c r="O17" s="161">
        <f t="shared" si="2"/>
        <v>541567.84806834</v>
      </c>
      <c r="P17" s="151">
        <f>('3b-SalesForecastYrs1-3'!R48*'4-AdditionalInputs'!$E$17)+('3b-SalesForecastYrs1-3'!N48*'4-AdditionalInputs'!$E$18)+('3b-SalesForecastYrs1-3'!M48*'4-AdditionalInputs'!$E$19)</f>
        <v>52822.3645068448</v>
      </c>
      <c r="Q17" s="151">
        <f>('3b-SalesForecastYrs1-3'!S48*'4-AdditionalInputs'!$E$17)+('3b-SalesForecastYrs1-3'!R48*'4-AdditionalInputs'!$E$18)+('3b-SalesForecastYrs1-3'!N48*'4-AdditionalInputs'!$E$19)</f>
        <v>53878.8117969818</v>
      </c>
      <c r="R17" s="151">
        <f>('3b-SalesForecastYrs1-3'!T48*'4-AdditionalInputs'!$E$17)+('3b-SalesForecastYrs1-3'!S48*'4-AdditionalInputs'!$E$18)+('3b-SalesForecastYrs1-3'!R48*'4-AdditionalInputs'!$E$19)</f>
        <v>54956.3880329216</v>
      </c>
      <c r="S17" s="151">
        <f>('3b-SalesForecastYrs1-3'!U48*'4-AdditionalInputs'!$E$17)+('3b-SalesForecastYrs1-3'!T48*'4-AdditionalInputs'!$E$18)+('3b-SalesForecastYrs1-3'!S48*'4-AdditionalInputs'!$E$19)</f>
        <v>56055.51579358</v>
      </c>
      <c r="T17" s="151">
        <f>('3b-SalesForecastYrs1-3'!V48*'4-AdditionalInputs'!$E$17)+('3b-SalesForecastYrs1-3'!U48*'4-AdditionalInputs'!$E$18)+('3b-SalesForecastYrs1-3'!T48*'4-AdditionalInputs'!$E$19)</f>
        <v>57176.6261094518</v>
      </c>
      <c r="U17" s="151">
        <f>('3b-SalesForecastYrs1-3'!W48*'4-AdditionalInputs'!$E$17)+('3b-SalesForecastYrs1-3'!V48*'4-AdditionalInputs'!$E$18)+('3b-SalesForecastYrs1-3'!U48*'4-AdditionalInputs'!$E$19)</f>
        <v>58320.158631641</v>
      </c>
      <c r="V17" s="151">
        <f>('3b-SalesForecastYrs1-3'!X48*'4-AdditionalInputs'!$E$17)+('3b-SalesForecastYrs1-3'!W48*'4-AdditionalInputs'!$E$18)+('3b-SalesForecastYrs1-3'!V48*'4-AdditionalInputs'!$E$19)</f>
        <v>59486.5618042738</v>
      </c>
      <c r="W17" s="151">
        <f>('3b-SalesForecastYrs1-3'!Y48*'4-AdditionalInputs'!$E$17)+('3b-SalesForecastYrs1-3'!X48*'4-AdditionalInputs'!$E$18)+('3b-SalesForecastYrs1-3'!W48*'4-AdditionalInputs'!$E$19)</f>
        <v>60676.2930403592</v>
      </c>
      <c r="X17" s="151">
        <f>('3b-SalesForecastYrs1-3'!Z48*'4-AdditionalInputs'!$E$17)+('3b-SalesForecastYrs1-3'!Y48*'4-AdditionalInputs'!$E$18)+('3b-SalesForecastYrs1-3'!X48*'4-AdditionalInputs'!$E$19)</f>
        <v>61889.8189011664</v>
      </c>
      <c r="Y17" s="151">
        <f>('3b-SalesForecastYrs1-3'!AA48*'4-AdditionalInputs'!$E$17)+('3b-SalesForecastYrs1-3'!Z48*'4-AdditionalInputs'!$E$18)+('3b-SalesForecastYrs1-3'!Y48*'4-AdditionalInputs'!$E$19)</f>
        <v>63127.6152791896</v>
      </c>
      <c r="Z17" s="151">
        <f>('3b-SalesForecastYrs1-3'!AB48*'4-AdditionalInputs'!$E$17)+('3b-SalesForecastYrs1-3'!AA48*'4-AdditionalInputs'!$E$18)+('3b-SalesForecastYrs1-3'!Z48*'4-AdditionalInputs'!$E$19)</f>
        <v>64390.1675847736</v>
      </c>
      <c r="AA17" s="151">
        <f>('3b-SalesForecastYrs1-3'!AC48*'4-AdditionalInputs'!$E$17)+('3b-SalesForecastYrs1-3'!AB48*'4-AdditionalInputs'!$E$18)+('3b-SalesForecastYrs1-3'!AA48*'4-AdditionalInputs'!$E$19)</f>
        <v>65677.9709364688</v>
      </c>
      <c r="AB17" s="161">
        <f t="shared" si="2"/>
        <v>708458.292417652</v>
      </c>
    </row>
    <row r="18" ht="12" customHeight="1">
      <c r="A18" s="331" t="s">
        <v>230</v>
      </c>
      <c r="B18" s="339"/>
      <c r="C18" s="151"/>
      <c r="D18" s="151"/>
      <c r="E18" s="151"/>
      <c r="F18" s="151"/>
      <c r="G18" s="151"/>
      <c r="H18" s="151"/>
      <c r="I18" s="151"/>
      <c r="J18" s="151"/>
      <c r="K18" s="151"/>
      <c r="L18" s="151"/>
      <c r="M18" s="151"/>
      <c r="N18" s="151"/>
      <c r="O18" s="161"/>
      <c r="P18" s="151"/>
      <c r="Q18" s="151"/>
      <c r="R18" s="151"/>
      <c r="S18" s="151"/>
      <c r="T18" s="151"/>
      <c r="U18" s="151"/>
      <c r="V18" s="151"/>
      <c r="W18" s="151"/>
      <c r="X18" s="151"/>
      <c r="Y18" s="151"/>
      <c r="Z18" s="151"/>
      <c r="AA18" s="151"/>
      <c r="AB18" s="161"/>
    </row>
    <row r="19" ht="13.5" customHeight="1">
      <c r="A19" s="333" t="s">
        <v>231</v>
      </c>
      <c r="B19" s="339">
        <f>'6a-CashFlowYear1'!O20</f>
        <v>121820</v>
      </c>
      <c r="C19" s="151">
        <f>SUM('5b-OpExYrs1-3'!$E8:$E22)/12</f>
        <v>10635.9166666667</v>
      </c>
      <c r="D19" s="151">
        <f>SUM('5b-OpExYrs1-3'!$E8:$E22)/12</f>
        <v>10635.9166666667</v>
      </c>
      <c r="E19" s="151">
        <f>SUM('5b-OpExYrs1-3'!$E8:$E22)/12</f>
        <v>10635.9166666667</v>
      </c>
      <c r="F19" s="151">
        <f>SUM('5b-OpExYrs1-3'!$E8:$E22)/12</f>
        <v>10635.9166666667</v>
      </c>
      <c r="G19" s="151">
        <f>SUM('5b-OpExYrs1-3'!$E8:$E22)/12</f>
        <v>10635.9166666667</v>
      </c>
      <c r="H19" s="151">
        <f>SUM('5b-OpExYrs1-3'!$E8:$E22)/12</f>
        <v>10635.9166666667</v>
      </c>
      <c r="I19" s="151">
        <f>SUM('5b-OpExYrs1-3'!$E8:$E22)/12</f>
        <v>10635.9166666667</v>
      </c>
      <c r="J19" s="151">
        <f>SUM('5b-OpExYrs1-3'!$E8:$E22)/12</f>
        <v>10635.9166666667</v>
      </c>
      <c r="K19" s="151">
        <f>SUM('5b-OpExYrs1-3'!$E8:$E22)/12</f>
        <v>10635.9166666667</v>
      </c>
      <c r="L19" s="151">
        <f>SUM('5b-OpExYrs1-3'!$E8:$E22)/12</f>
        <v>10635.9166666667</v>
      </c>
      <c r="M19" s="151">
        <f>SUM('5b-OpExYrs1-3'!$E8:$E22)/12</f>
        <v>10635.9166666667</v>
      </c>
      <c r="N19" s="151">
        <f>SUM('5b-OpExYrs1-3'!$E8:$E22)/12</f>
        <v>10635.9166666667</v>
      </c>
      <c r="O19" s="161">
        <f t="shared" si="2"/>
        <v>127631</v>
      </c>
      <c r="P19" s="151">
        <f>SUM('5b-OpExYrs1-3'!$G8:$G22)/12</f>
        <v>11143.6791666667</v>
      </c>
      <c r="Q19" s="151">
        <f>SUM('5b-OpExYrs1-3'!$G8:$G22)/12</f>
        <v>11143.6791666667</v>
      </c>
      <c r="R19" s="151">
        <f>SUM('5b-OpExYrs1-3'!$G8:$G22)/12</f>
        <v>11143.6791666667</v>
      </c>
      <c r="S19" s="151">
        <f>SUM('5b-OpExYrs1-3'!$G8:$G22)/12</f>
        <v>11143.6791666667</v>
      </c>
      <c r="T19" s="151">
        <f>SUM('5b-OpExYrs1-3'!$G8:$G22)/12</f>
        <v>11143.6791666667</v>
      </c>
      <c r="U19" s="151">
        <f>SUM('5b-OpExYrs1-3'!$G8:$G22)/12</f>
        <v>11143.6791666667</v>
      </c>
      <c r="V19" s="151">
        <f>SUM('5b-OpExYrs1-3'!$G8:$G22)/12</f>
        <v>11143.6791666667</v>
      </c>
      <c r="W19" s="151">
        <f>SUM('5b-OpExYrs1-3'!$G8:$G22)/12</f>
        <v>11143.6791666667</v>
      </c>
      <c r="X19" s="151">
        <f>SUM('5b-OpExYrs1-3'!$G8:$G22)/12</f>
        <v>11143.6791666667</v>
      </c>
      <c r="Y19" s="151">
        <f>SUM('5b-OpExYrs1-3'!$G8:$G22)/12</f>
        <v>11143.6791666667</v>
      </c>
      <c r="Z19" s="151">
        <f>SUM('5b-OpExYrs1-3'!$G8:$G22)/12</f>
        <v>11143.6791666667</v>
      </c>
      <c r="AA19" s="151">
        <f>SUM('5b-OpExYrs1-3'!$G8:$G22)/12</f>
        <v>11143.6791666667</v>
      </c>
      <c r="AB19" s="161">
        <f t="shared" si="2"/>
        <v>133724.15</v>
      </c>
    </row>
    <row r="20" ht="13.5" customHeight="1">
      <c r="A20" s="333" t="s">
        <v>232</v>
      </c>
      <c r="B20" s="339">
        <f>'6a-CashFlowYear1'!O21</f>
        <v>54827.602</v>
      </c>
      <c r="C20" s="151">
        <f>'2b-PayrollYrs1-3'!$E$26/12</f>
        <v>5482.7602</v>
      </c>
      <c r="D20" s="151">
        <f>'2b-PayrollYrs1-3'!$E$26/12</f>
        <v>5482.7602</v>
      </c>
      <c r="E20" s="151">
        <f>'2b-PayrollYrs1-3'!$E$26/12</f>
        <v>5482.7602</v>
      </c>
      <c r="F20" s="151">
        <f>'2b-PayrollYrs1-3'!$E$26/12</f>
        <v>5482.7602</v>
      </c>
      <c r="G20" s="151">
        <f>'2b-PayrollYrs1-3'!$E$26/12</f>
        <v>5482.7602</v>
      </c>
      <c r="H20" s="151">
        <f>'2b-PayrollYrs1-3'!$E$26/12</f>
        <v>5482.7602</v>
      </c>
      <c r="I20" s="151">
        <f>'2b-PayrollYrs1-3'!$E$26/12</f>
        <v>5482.7602</v>
      </c>
      <c r="J20" s="151">
        <f>'2b-PayrollYrs1-3'!$E$26/12</f>
        <v>5482.7602</v>
      </c>
      <c r="K20" s="151">
        <f>'2b-PayrollYrs1-3'!$E$26/12</f>
        <v>5482.7602</v>
      </c>
      <c r="L20" s="151">
        <f>'2b-PayrollYrs1-3'!$E$26/12</f>
        <v>5482.7602</v>
      </c>
      <c r="M20" s="151">
        <f>'2b-PayrollYrs1-3'!$E$26/12</f>
        <v>5482.7602</v>
      </c>
      <c r="N20" s="151">
        <f>'2b-PayrollYrs1-3'!$E$26/12</f>
        <v>5482.7602</v>
      </c>
      <c r="O20" s="161">
        <f t="shared" si="2"/>
        <v>65793.1224</v>
      </c>
      <c r="P20" s="151">
        <f>'2b-PayrollYrs1-3'!$G$26/12</f>
        <v>7127.58826</v>
      </c>
      <c r="Q20" s="151">
        <f>'2b-PayrollYrs1-3'!$G$26/12</f>
        <v>7127.58826</v>
      </c>
      <c r="R20" s="151">
        <f>'2b-PayrollYrs1-3'!$G$26/12</f>
        <v>7127.58826</v>
      </c>
      <c r="S20" s="151">
        <f>'2b-PayrollYrs1-3'!$G$26/12</f>
        <v>7127.58826</v>
      </c>
      <c r="T20" s="151">
        <f>'2b-PayrollYrs1-3'!$G$26/12</f>
        <v>7127.58826</v>
      </c>
      <c r="U20" s="151">
        <f>'2b-PayrollYrs1-3'!$G$26/12</f>
        <v>7127.58826</v>
      </c>
      <c r="V20" s="151">
        <f>'2b-PayrollYrs1-3'!$G$26/12</f>
        <v>7127.58826</v>
      </c>
      <c r="W20" s="151">
        <f>'2b-PayrollYrs1-3'!$G$26/12</f>
        <v>7127.58826</v>
      </c>
      <c r="X20" s="151">
        <f>'2b-PayrollYrs1-3'!$G$26/12</f>
        <v>7127.58826</v>
      </c>
      <c r="Y20" s="151">
        <f>'2b-PayrollYrs1-3'!$G$26/12</f>
        <v>7127.58826</v>
      </c>
      <c r="Z20" s="151">
        <f>'2b-PayrollYrs1-3'!$G$26/12</f>
        <v>7127.58826</v>
      </c>
      <c r="AA20" s="151">
        <f>'2b-PayrollYrs1-3'!$G$26/12</f>
        <v>7127.58826</v>
      </c>
      <c r="AB20" s="161">
        <f t="shared" si="2"/>
        <v>85531.05912</v>
      </c>
    </row>
    <row r="21" ht="12" customHeight="1">
      <c r="A21" s="333" t="s">
        <v>233</v>
      </c>
      <c r="B21" s="339">
        <f>'6a-CashFlowYear1'!O22</f>
        <v>0</v>
      </c>
      <c r="C21" s="151">
        <v>0</v>
      </c>
      <c r="D21" s="151">
        <v>0</v>
      </c>
      <c r="E21" s="151">
        <f>SUM('7b-IncomeStatementYrs1-3'!C65:E65)</f>
        <v>0</v>
      </c>
      <c r="F21" s="151">
        <v>0</v>
      </c>
      <c r="G21" s="151">
        <v>0</v>
      </c>
      <c r="H21" s="151">
        <f>SUM('7b-IncomeStatementYrs1-3'!F65:H65)</f>
        <v>0</v>
      </c>
      <c r="I21" s="151">
        <v>0</v>
      </c>
      <c r="J21" s="151">
        <v>0</v>
      </c>
      <c r="K21" s="151">
        <f>SUM('7b-IncomeStatementYrs1-3'!I65:K65)</f>
        <v>0</v>
      </c>
      <c r="L21" s="151">
        <v>0</v>
      </c>
      <c r="M21" s="151">
        <v>0</v>
      </c>
      <c r="N21" s="151">
        <f>SUM('7b-IncomeStatementYrs1-3'!L65:N65)</f>
        <v>0</v>
      </c>
      <c r="O21" s="161"/>
      <c r="P21" s="151">
        <v>0</v>
      </c>
      <c r="Q21" s="151">
        <v>0</v>
      </c>
      <c r="R21" s="151">
        <f>SUM('7b-IncomeStatementYrs1-3'!C69:E69)</f>
        <v>0</v>
      </c>
      <c r="S21" s="151">
        <v>0</v>
      </c>
      <c r="T21" s="151">
        <v>0</v>
      </c>
      <c r="U21" s="151">
        <f>SUM('7b-IncomeStatementYrs1-3'!F69:H69)</f>
        <v>0</v>
      </c>
      <c r="V21" s="151">
        <v>0</v>
      </c>
      <c r="W21" s="151">
        <v>0</v>
      </c>
      <c r="X21" s="151">
        <f>SUM('7b-IncomeStatementYrs1-3'!I69:K69)</f>
        <v>0</v>
      </c>
      <c r="Y21" s="151">
        <v>0</v>
      </c>
      <c r="Z21" s="151">
        <v>0</v>
      </c>
      <c r="AA21" s="151">
        <f>SUM('7b-IncomeStatementYrs1-3'!L69:N69)</f>
        <v>0</v>
      </c>
      <c r="AB21" s="161">
        <f t="shared" si="2"/>
        <v>0</v>
      </c>
    </row>
    <row r="22" ht="12" customHeight="1">
      <c r="A22" s="331" t="s">
        <v>234</v>
      </c>
      <c r="B22" s="339"/>
      <c r="C22" s="151"/>
      <c r="D22" s="151"/>
      <c r="E22" s="151"/>
      <c r="F22" s="151"/>
      <c r="G22" s="151"/>
      <c r="H22" s="151"/>
      <c r="I22" s="151"/>
      <c r="J22" s="151"/>
      <c r="K22" s="151"/>
      <c r="L22" s="151"/>
      <c r="M22" s="151"/>
      <c r="N22" s="151"/>
      <c r="O22" s="161"/>
      <c r="P22" s="151"/>
      <c r="Q22" s="151"/>
      <c r="R22" s="151"/>
      <c r="S22" s="151"/>
      <c r="T22" s="151"/>
      <c r="U22" s="151"/>
      <c r="V22" s="151"/>
      <c r="W22" s="151"/>
      <c r="X22" s="151"/>
      <c r="Y22" s="151"/>
      <c r="Z22" s="151"/>
      <c r="AA22" s="151"/>
      <c r="AB22" s="161"/>
    </row>
    <row r="23" ht="12" customHeight="1">
      <c r="A23" s="340" t="s">
        <v>235</v>
      </c>
      <c r="B23" s="339">
        <f>'6a-CashFlowYear1'!O24</f>
        <v>0</v>
      </c>
      <c r="C23" s="151">
        <f>SUM('Amortization&amp;Depreciation'!C19:C20)+SUM('Amortization&amp;Depreciation'!C39:C40)+SUM('Amortization&amp;Depreciation'!C59:C60)+SUM('Amortization&amp;Depreciation'!C79:C80)+SUM('Amortization&amp;Depreciation'!C99:C100)</f>
        <v>0</v>
      </c>
      <c r="D23" s="151">
        <f>SUM('Amortization&amp;Depreciation'!D19:D20)+SUM('Amortization&amp;Depreciation'!D39:D40)+SUM('Amortization&amp;Depreciation'!D59:D60)+SUM('Amortization&amp;Depreciation'!D79:D80)+SUM('Amortization&amp;Depreciation'!D99:D100)</f>
        <v>0</v>
      </c>
      <c r="E23" s="151">
        <f>SUM('Amortization&amp;Depreciation'!E19:E20)+SUM('Amortization&amp;Depreciation'!E39:E40)+SUM('Amortization&amp;Depreciation'!E59:E60)+SUM('Amortization&amp;Depreciation'!E79:E80)+SUM('Amortization&amp;Depreciation'!E99:E100)</f>
        <v>0</v>
      </c>
      <c r="F23" s="151">
        <f>SUM('Amortization&amp;Depreciation'!F19:F20)+SUM('Amortization&amp;Depreciation'!F39:F40)+SUM('Amortization&amp;Depreciation'!F59:F60)+SUM('Amortization&amp;Depreciation'!F79:F80)+SUM('Amortization&amp;Depreciation'!F99:F100)</f>
        <v>0</v>
      </c>
      <c r="G23" s="151">
        <f>SUM('Amortization&amp;Depreciation'!G19:G20)+SUM('Amortization&amp;Depreciation'!G39:G40)+SUM('Amortization&amp;Depreciation'!G59:G60)+SUM('Amortization&amp;Depreciation'!G79:G80)+SUM('Amortization&amp;Depreciation'!G99:G100)</f>
        <v>0</v>
      </c>
      <c r="H23" s="151">
        <f>SUM('Amortization&amp;Depreciation'!H19:H20)+SUM('Amortization&amp;Depreciation'!H39:H40)+SUM('Amortization&amp;Depreciation'!H59:H60)+SUM('Amortization&amp;Depreciation'!H79:H80)+SUM('Amortization&amp;Depreciation'!H99:H100)</f>
        <v>0</v>
      </c>
      <c r="I23" s="151">
        <f>SUM('Amortization&amp;Depreciation'!I19:I20)+SUM('Amortization&amp;Depreciation'!I39:I40)+SUM('Amortization&amp;Depreciation'!I59:I60)+SUM('Amortization&amp;Depreciation'!I79:I80)+SUM('Amortization&amp;Depreciation'!I99:I100)</f>
        <v>0</v>
      </c>
      <c r="J23" s="151">
        <f>SUM('Amortization&amp;Depreciation'!J19:J20)+SUM('Amortization&amp;Depreciation'!J39:J40)+SUM('Amortization&amp;Depreciation'!J59:J60)+SUM('Amortization&amp;Depreciation'!J79:J80)+SUM('Amortization&amp;Depreciation'!J99:J100)</f>
        <v>0</v>
      </c>
      <c r="K23" s="151">
        <f>SUM('Amortization&amp;Depreciation'!K19:K20)+SUM('Amortization&amp;Depreciation'!K39:K40)+SUM('Amortization&amp;Depreciation'!K59:K60)+SUM('Amortization&amp;Depreciation'!K79:K80)+SUM('Amortization&amp;Depreciation'!K99:K100)</f>
        <v>0</v>
      </c>
      <c r="L23" s="151">
        <f>SUM('Amortization&amp;Depreciation'!L19:L20)+SUM('Amortization&amp;Depreciation'!L39:L40)+SUM('Amortization&amp;Depreciation'!L59:L60)+SUM('Amortization&amp;Depreciation'!L79:L80)+SUM('Amortization&amp;Depreciation'!L99:L100)</f>
        <v>0</v>
      </c>
      <c r="M23" s="151">
        <f>SUM('Amortization&amp;Depreciation'!M19:M20)+SUM('Amortization&amp;Depreciation'!M39:M40)+SUM('Amortization&amp;Depreciation'!M59:M60)+SUM('Amortization&amp;Depreciation'!M79:M80)+SUM('Amortization&amp;Depreciation'!M99:M100)</f>
        <v>0</v>
      </c>
      <c r="N23" s="151">
        <f>SUM('Amortization&amp;Depreciation'!N19:N20)+SUM('Amortization&amp;Depreciation'!N39:N40)+SUM('Amortization&amp;Depreciation'!N59:N60)+SUM('Amortization&amp;Depreciation'!N79:N80)+SUM('Amortization&amp;Depreciation'!N99:N100)</f>
        <v>0</v>
      </c>
      <c r="O23" s="161">
        <f t="shared" si="2"/>
        <v>0</v>
      </c>
      <c r="P23" s="151">
        <f>SUM('Amortization&amp;Depreciation'!C23:C24)+SUM('Amortization&amp;Depreciation'!C43:C44)+SUM('Amortization&amp;Depreciation'!C63:C64)+SUM('Amortization&amp;Depreciation'!C83:C84)+SUM('Amortization&amp;Depreciation'!C103:C104)</f>
        <v>0</v>
      </c>
      <c r="Q23" s="151">
        <f>SUM('Amortization&amp;Depreciation'!D23:D24)+SUM('Amortization&amp;Depreciation'!D43:D44)+SUM('Amortization&amp;Depreciation'!D63:D64)+SUM('Amortization&amp;Depreciation'!D83:D84)+SUM('Amortization&amp;Depreciation'!D103:D104)</f>
        <v>0</v>
      </c>
      <c r="R23" s="151">
        <f>SUM('Amortization&amp;Depreciation'!E23:E24)+SUM('Amortization&amp;Depreciation'!E43:E44)+SUM('Amortization&amp;Depreciation'!E63:E64)+SUM('Amortization&amp;Depreciation'!E83:E84)+SUM('Amortization&amp;Depreciation'!E103:E104)</f>
        <v>0</v>
      </c>
      <c r="S23" s="151">
        <f>SUM('Amortization&amp;Depreciation'!F23:F24)+SUM('Amortization&amp;Depreciation'!F43:F44)+SUM('Amortization&amp;Depreciation'!F63:F64)+SUM('Amortization&amp;Depreciation'!F83:F84)+SUM('Amortization&amp;Depreciation'!F103:F104)</f>
        <v>0</v>
      </c>
      <c r="T23" s="151">
        <f>SUM('Amortization&amp;Depreciation'!G23:G24)+SUM('Amortization&amp;Depreciation'!G43:G44)+SUM('Amortization&amp;Depreciation'!G63:G64)+SUM('Amortization&amp;Depreciation'!G83:G84)+SUM('Amortization&amp;Depreciation'!G103:G104)</f>
        <v>0</v>
      </c>
      <c r="U23" s="151">
        <f>SUM('Amortization&amp;Depreciation'!H23:H24)+SUM('Amortization&amp;Depreciation'!H43:H44)+SUM('Amortization&amp;Depreciation'!H63:H64)+SUM('Amortization&amp;Depreciation'!H83:H84)+SUM('Amortization&amp;Depreciation'!H103:H104)</f>
        <v>0</v>
      </c>
      <c r="V23" s="151">
        <f>SUM('Amortization&amp;Depreciation'!I23:I24)+SUM('Amortization&amp;Depreciation'!I43:I44)+SUM('Amortization&amp;Depreciation'!I63:I64)+SUM('Amortization&amp;Depreciation'!I83:I84)+SUM('Amortization&amp;Depreciation'!I103:I104)</f>
        <v>0</v>
      </c>
      <c r="W23" s="151">
        <f>SUM('Amortization&amp;Depreciation'!J23:J24)+SUM('Amortization&amp;Depreciation'!J43:J44)+SUM('Amortization&amp;Depreciation'!J63:J64)+SUM('Amortization&amp;Depreciation'!J83:J84)+SUM('Amortization&amp;Depreciation'!J103:J104)</f>
        <v>0</v>
      </c>
      <c r="X23" s="151">
        <f>SUM('Amortization&amp;Depreciation'!K23:K24)+SUM('Amortization&amp;Depreciation'!K43:K44)+SUM('Amortization&amp;Depreciation'!K63:K64)+SUM('Amortization&amp;Depreciation'!K83:K84)+SUM('Amortization&amp;Depreciation'!K103:K104)</f>
        <v>0</v>
      </c>
      <c r="Y23" s="151">
        <f>SUM('Amortization&amp;Depreciation'!L23:L24)+SUM('Amortization&amp;Depreciation'!L43:L44)+SUM('Amortization&amp;Depreciation'!L63:L64)+SUM('Amortization&amp;Depreciation'!L83:L84)+SUM('Amortization&amp;Depreciation'!L103:L104)</f>
        <v>0</v>
      </c>
      <c r="Z23" s="151">
        <f>SUM('Amortization&amp;Depreciation'!M23:M24)+SUM('Amortization&amp;Depreciation'!M43:M44)+SUM('Amortization&amp;Depreciation'!M63:M64)+SUM('Amortization&amp;Depreciation'!M83:M84)+SUM('Amortization&amp;Depreciation'!M103:M104)</f>
        <v>0</v>
      </c>
      <c r="AA23" s="151">
        <f>SUM('Amortization&amp;Depreciation'!N23:N24)+SUM('Amortization&amp;Depreciation'!N43:N44)+SUM('Amortization&amp;Depreciation'!N63:N64)+SUM('Amortization&amp;Depreciation'!N83:N84)+SUM('Amortization&amp;Depreciation'!N103:N104)</f>
        <v>0</v>
      </c>
      <c r="AB23" s="161">
        <f t="shared" si="2"/>
        <v>0</v>
      </c>
    </row>
    <row r="24" ht="12" customHeight="1">
      <c r="A24" s="340" t="s">
        <v>236</v>
      </c>
      <c r="B24" s="339">
        <f>'6a-CashFlowYear1'!O25</f>
        <v>0</v>
      </c>
      <c r="C24" s="305"/>
      <c r="D24" s="305"/>
      <c r="E24" s="305"/>
      <c r="F24" s="305"/>
      <c r="G24" s="305"/>
      <c r="H24" s="305"/>
      <c r="I24" s="305"/>
      <c r="J24" s="305"/>
      <c r="K24" s="305"/>
      <c r="L24" s="305"/>
      <c r="M24" s="305"/>
      <c r="N24" s="305"/>
      <c r="O24" s="161">
        <f t="shared" si="2"/>
        <v>0</v>
      </c>
      <c r="P24" s="305"/>
      <c r="Q24" s="305"/>
      <c r="R24" s="305"/>
      <c r="S24" s="305"/>
      <c r="T24" s="305"/>
      <c r="U24" s="305"/>
      <c r="V24" s="305"/>
      <c r="W24" s="305"/>
      <c r="X24" s="305"/>
      <c r="Y24" s="305"/>
      <c r="Z24" s="305"/>
      <c r="AA24" s="305"/>
      <c r="AB24" s="161">
        <f t="shared" si="2"/>
        <v>0</v>
      </c>
    </row>
    <row r="25" ht="12" customHeight="1">
      <c r="A25" s="340" t="s">
        <v>237</v>
      </c>
      <c r="B25" s="339">
        <f>'6a-CashFlowYear1'!O26</f>
        <v>0</v>
      </c>
      <c r="C25" s="151">
        <f>'6a-CashFlowYear1'!N34*'4-AdditionalInputs'!$D$25/12</f>
        <v>0</v>
      </c>
      <c r="D25" s="151">
        <f>C33*'4-AdditionalInputs'!$D$25/12</f>
        <v>0</v>
      </c>
      <c r="E25" s="151">
        <f>D33*'4-AdditionalInputs'!$D$25/12</f>
        <v>0</v>
      </c>
      <c r="F25" s="151">
        <f>E33*'4-AdditionalInputs'!$D$25/12</f>
        <v>0</v>
      </c>
      <c r="G25" s="151">
        <f>F33*'4-AdditionalInputs'!$D$25/12</f>
        <v>0</v>
      </c>
      <c r="H25" s="151">
        <f>G33*'4-AdditionalInputs'!$D$25/12</f>
        <v>0</v>
      </c>
      <c r="I25" s="151">
        <f>H33*'4-AdditionalInputs'!$D$25/12</f>
        <v>0</v>
      </c>
      <c r="J25" s="151">
        <f>I33*'4-AdditionalInputs'!$D$25/12</f>
        <v>0</v>
      </c>
      <c r="K25" s="151">
        <f>J33*'4-AdditionalInputs'!$D$25/12</f>
        <v>0</v>
      </c>
      <c r="L25" s="151">
        <f>K33*'4-AdditionalInputs'!$D$25/12</f>
        <v>0</v>
      </c>
      <c r="M25" s="151">
        <f>L33*'4-AdditionalInputs'!$D$25/12</f>
        <v>0</v>
      </c>
      <c r="N25" s="151">
        <f>M33*'4-AdditionalInputs'!$D$25/12</f>
        <v>0</v>
      </c>
      <c r="O25" s="161">
        <f t="shared" si="2"/>
        <v>0</v>
      </c>
      <c r="P25" s="151">
        <f>N33*'4-AdditionalInputs'!$D$25/12</f>
        <v>0</v>
      </c>
      <c r="Q25" s="151">
        <f>P33*'4-AdditionalInputs'!$D$25/12</f>
        <v>0</v>
      </c>
      <c r="R25" s="151">
        <f>Q33*'4-AdditionalInputs'!$D$25/12</f>
        <v>0</v>
      </c>
      <c r="S25" s="151">
        <f>R33*'4-AdditionalInputs'!$D$25/12</f>
        <v>0</v>
      </c>
      <c r="T25" s="151">
        <f>S33*'4-AdditionalInputs'!$D$25/12</f>
        <v>0</v>
      </c>
      <c r="U25" s="151">
        <f>T33*'4-AdditionalInputs'!$D$25/12</f>
        <v>0</v>
      </c>
      <c r="V25" s="151">
        <f>U33*'4-AdditionalInputs'!$D$25/12</f>
        <v>0</v>
      </c>
      <c r="W25" s="151">
        <f>V33*'4-AdditionalInputs'!$D$25/12</f>
        <v>0</v>
      </c>
      <c r="X25" s="151">
        <f>W33*'4-AdditionalInputs'!$D$25/12</f>
        <v>0</v>
      </c>
      <c r="Y25" s="151">
        <f>X33*'4-AdditionalInputs'!$D$25/12</f>
        <v>0</v>
      </c>
      <c r="Z25" s="151">
        <f>Y33*'4-AdditionalInputs'!$D$25/12</f>
        <v>0</v>
      </c>
      <c r="AA25" s="151">
        <f>Z33*'4-AdditionalInputs'!$D$25/12</f>
        <v>0</v>
      </c>
      <c r="AB25" s="161">
        <f t="shared" si="2"/>
        <v>0</v>
      </c>
    </row>
    <row r="26" ht="12" customHeight="1">
      <c r="A26" s="340" t="s">
        <v>238</v>
      </c>
      <c r="B26" s="339">
        <f>'6a-CashFlowYear1'!O27</f>
        <v>0</v>
      </c>
      <c r="C26" s="305"/>
      <c r="D26" s="305"/>
      <c r="E26" s="305"/>
      <c r="F26" s="305"/>
      <c r="G26" s="305"/>
      <c r="H26" s="305"/>
      <c r="I26" s="305"/>
      <c r="J26" s="305"/>
      <c r="K26" s="305"/>
      <c r="L26" s="305"/>
      <c r="M26" s="305"/>
      <c r="N26" s="305"/>
      <c r="O26" s="161">
        <f t="shared" si="2"/>
        <v>0</v>
      </c>
      <c r="P26" s="305"/>
      <c r="Q26" s="305"/>
      <c r="R26" s="305"/>
      <c r="S26" s="305"/>
      <c r="T26" s="305"/>
      <c r="U26" s="305"/>
      <c r="V26" s="305"/>
      <c r="W26" s="305"/>
      <c r="X26" s="305"/>
      <c r="Y26" s="305"/>
      <c r="Z26" s="305"/>
      <c r="AA26" s="305"/>
      <c r="AB26" s="161">
        <f t="shared" si="2"/>
        <v>0</v>
      </c>
    </row>
    <row r="27" ht="12" customHeight="1">
      <c r="A27" s="340" t="s">
        <v>239</v>
      </c>
      <c r="B27" s="339">
        <f>'6a-CashFlowYear1'!O28</f>
        <v>0</v>
      </c>
      <c r="C27" s="305"/>
      <c r="D27" s="305"/>
      <c r="E27" s="305"/>
      <c r="F27" s="305"/>
      <c r="G27" s="305"/>
      <c r="H27" s="305"/>
      <c r="I27" s="305"/>
      <c r="J27" s="305"/>
      <c r="K27" s="305"/>
      <c r="L27" s="305"/>
      <c r="M27" s="305"/>
      <c r="N27" s="305"/>
      <c r="O27" s="161">
        <f t="shared" si="2"/>
        <v>0</v>
      </c>
      <c r="P27" s="305"/>
      <c r="Q27" s="305"/>
      <c r="R27" s="305"/>
      <c r="S27" s="305"/>
      <c r="T27" s="305"/>
      <c r="U27" s="305"/>
      <c r="V27" s="305"/>
      <c r="W27" s="305"/>
      <c r="X27" s="305"/>
      <c r="Y27" s="305"/>
      <c r="Z27" s="305"/>
      <c r="AA27" s="305"/>
      <c r="AB27" s="161">
        <f t="shared" si="2"/>
        <v>0</v>
      </c>
    </row>
    <row r="28" ht="13.5" customHeight="1">
      <c r="A28" s="334" t="s">
        <v>240</v>
      </c>
      <c r="B28" s="339">
        <f>'6a-CashFlowYear1'!O29</f>
        <v>392287.602</v>
      </c>
      <c r="C28" s="335">
        <f t="shared" si="4" ref="C28:AA28">SUM(C15:C27)</f>
        <v>54278.6768666667</v>
      </c>
      <c r="D28" s="335">
        <f t="shared" si="4"/>
        <v>55423.4768666667</v>
      </c>
      <c r="E28" s="335">
        <f t="shared" si="4"/>
        <v>56602.6208666667</v>
      </c>
      <c r="F28" s="335">
        <f t="shared" si="4"/>
        <v>57817.1391866667</v>
      </c>
      <c r="G28" s="335">
        <f t="shared" si="4"/>
        <v>59068.0930562667</v>
      </c>
      <c r="H28" s="335">
        <f t="shared" si="4"/>
        <v>60356.5755419547</v>
      </c>
      <c r="I28" s="335">
        <f t="shared" si="4"/>
        <v>61683.7125022133</v>
      </c>
      <c r="J28" s="335">
        <f t="shared" si="4"/>
        <v>63050.6635712797</v>
      </c>
      <c r="K28" s="335">
        <f t="shared" si="4"/>
        <v>64458.6231724181</v>
      </c>
      <c r="L28" s="335">
        <f t="shared" si="4"/>
        <v>65908.8215615907</v>
      </c>
      <c r="M28" s="335">
        <f t="shared" si="4"/>
        <v>67402.5259024385</v>
      </c>
      <c r="N28" s="335">
        <f t="shared" si="4"/>
        <v>68941.0413735115</v>
      </c>
      <c r="O28" s="161">
        <f t="shared" si="4"/>
        <v>734991.97046834</v>
      </c>
      <c r="P28" s="335">
        <f t="shared" si="4"/>
        <v>71093.6319335115</v>
      </c>
      <c r="Q28" s="335">
        <f t="shared" si="4"/>
        <v>72150.0792236485</v>
      </c>
      <c r="R28" s="335">
        <f t="shared" si="4"/>
        <v>73227.6554595883</v>
      </c>
      <c r="S28" s="335">
        <f t="shared" si="4"/>
        <v>74326.7832202467</v>
      </c>
      <c r="T28" s="335">
        <f t="shared" si="4"/>
        <v>75447.8935361185</v>
      </c>
      <c r="U28" s="335">
        <f t="shared" si="4"/>
        <v>76591.4260583077</v>
      </c>
      <c r="V28" s="335">
        <f t="shared" si="4"/>
        <v>77757.8292309405</v>
      </c>
      <c r="W28" s="335">
        <f t="shared" si="4"/>
        <v>78947.5604670259</v>
      </c>
      <c r="X28" s="335">
        <f t="shared" si="4"/>
        <v>80161.0863278331</v>
      </c>
      <c r="Y28" s="335">
        <f t="shared" si="4"/>
        <v>81398.8827058563</v>
      </c>
      <c r="Z28" s="335">
        <f t="shared" si="4"/>
        <v>82661.4350114403</v>
      </c>
      <c r="AA28" s="335">
        <f t="shared" si="4"/>
        <v>83949.2383631355</v>
      </c>
      <c r="AB28" s="161">
        <f t="shared" si="2"/>
        <v>927713.501537653</v>
      </c>
    </row>
    <row r="29" ht="13.5" customHeight="1">
      <c r="A29" s="329" t="s">
        <v>241</v>
      </c>
      <c r="B29" s="339">
        <f>'6a-CashFlowYear1'!O30</f>
        <v>219424.398</v>
      </c>
      <c r="C29" s="154">
        <f t="shared" si="5" ref="C29:AA29">C11-C28</f>
        <v>54423.3231333333</v>
      </c>
      <c r="D29" s="154">
        <f t="shared" si="5"/>
        <v>56539.5831333333</v>
      </c>
      <c r="E29" s="154">
        <f t="shared" si="5"/>
        <v>58719.3309333333</v>
      </c>
      <c r="F29" s="154">
        <f t="shared" si="5"/>
        <v>60964.4711673333</v>
      </c>
      <c r="G29" s="154">
        <f t="shared" si="5"/>
        <v>63276.9656083533</v>
      </c>
      <c r="H29" s="154">
        <f t="shared" si="5"/>
        <v>65658.8348826043</v>
      </c>
      <c r="I29" s="154">
        <f t="shared" si="5"/>
        <v>68112.1602350817</v>
      </c>
      <c r="J29" s="154">
        <f t="shared" si="5"/>
        <v>70639.0853481343</v>
      </c>
      <c r="K29" s="154">
        <f t="shared" si="5"/>
        <v>73241.8182145789</v>
      </c>
      <c r="L29" s="154">
        <f t="shared" si="5"/>
        <v>75922.6330670163</v>
      </c>
      <c r="M29" s="154">
        <f t="shared" si="5"/>
        <v>78683.8723650265</v>
      </c>
      <c r="N29" s="154">
        <f t="shared" si="5"/>
        <v>81527.9488419765</v>
      </c>
      <c r="O29" s="161">
        <f t="shared" si="5"/>
        <v>807710.02693011</v>
      </c>
      <c r="P29" s="154">
        <f t="shared" si="5"/>
        <v>79375.3582819765</v>
      </c>
      <c r="Q29" s="154">
        <f t="shared" si="5"/>
        <v>81328.2907961495</v>
      </c>
      <c r="R29" s="154">
        <f t="shared" si="5"/>
        <v>83320.2819606067</v>
      </c>
      <c r="S29" s="154">
        <f t="shared" si="5"/>
        <v>85352.1129483523</v>
      </c>
      <c r="T29" s="154">
        <f t="shared" si="5"/>
        <v>87424.5805558525</v>
      </c>
      <c r="U29" s="154">
        <f t="shared" si="5"/>
        <v>89538.4975155033</v>
      </c>
      <c r="V29" s="154">
        <f t="shared" si="5"/>
        <v>91694.6928143465</v>
      </c>
      <c r="W29" s="154">
        <f t="shared" si="5"/>
        <v>93894.0120191671</v>
      </c>
      <c r="X29" s="154">
        <f t="shared" si="5"/>
        <v>96137.3176080839</v>
      </c>
      <c r="Y29" s="154">
        <f t="shared" si="5"/>
        <v>98425.4893087787</v>
      </c>
      <c r="Z29" s="154">
        <f t="shared" si="5"/>
        <v>100759.424443488</v>
      </c>
      <c r="AA29" s="154">
        <f t="shared" si="5"/>
        <v>103140.03828089</v>
      </c>
      <c r="AB29" s="161">
        <f t="shared" si="2"/>
        <v>1090390.0965332</v>
      </c>
    </row>
    <row r="30" ht="13.5" customHeight="1">
      <c r="A30" s="329" t="s">
        <v>242</v>
      </c>
      <c r="B30" s="329"/>
      <c r="C30" s="154">
        <f t="shared" si="6" ref="C30:AA30">C7+C29</f>
        <v>273847.721133333</v>
      </c>
      <c r="D30" s="154">
        <f t="shared" si="6"/>
        <v>330387.304266666</v>
      </c>
      <c r="E30" s="154">
        <f t="shared" si="6"/>
        <v>389106.635199999</v>
      </c>
      <c r="F30" s="154">
        <f t="shared" si="6"/>
        <v>450071.106367332</v>
      </c>
      <c r="G30" s="154">
        <f t="shared" si="6"/>
        <v>513348.071975685</v>
      </c>
      <c r="H30" s="154">
        <f t="shared" si="6"/>
        <v>579006.906858289</v>
      </c>
      <c r="I30" s="154">
        <f t="shared" si="6"/>
        <v>647119.067093371</v>
      </c>
      <c r="J30" s="154">
        <f t="shared" si="6"/>
        <v>717758.152441505</v>
      </c>
      <c r="K30" s="154">
        <f t="shared" si="6"/>
        <v>790999.970656084</v>
      </c>
      <c r="L30" s="154">
        <f t="shared" si="6"/>
        <v>866922.6037231</v>
      </c>
      <c r="M30" s="154">
        <f t="shared" si="6"/>
        <v>945606.476088127</v>
      </c>
      <c r="N30" s="154">
        <f t="shared" si="6"/>
        <v>1027134.4249301</v>
      </c>
      <c r="O30" s="161"/>
      <c r="P30" s="154">
        <f t="shared" si="6"/>
        <v>1106509.78321208</v>
      </c>
      <c r="Q30" s="154">
        <f t="shared" si="6"/>
        <v>1187838.07400823</v>
      </c>
      <c r="R30" s="154">
        <f t="shared" si="6"/>
        <v>1271158.35596884</v>
      </c>
      <c r="S30" s="154">
        <f t="shared" si="6"/>
        <v>1356510.46891719</v>
      </c>
      <c r="T30" s="154">
        <f t="shared" si="6"/>
        <v>1443935.04947304</v>
      </c>
      <c r="U30" s="154">
        <f t="shared" si="6"/>
        <v>1533473.54698854</v>
      </c>
      <c r="V30" s="154">
        <f t="shared" si="6"/>
        <v>1625168.23980289</v>
      </c>
      <c r="W30" s="154">
        <f t="shared" si="6"/>
        <v>1719062.25182206</v>
      </c>
      <c r="X30" s="154">
        <f t="shared" si="6"/>
        <v>1815199.56943014</v>
      </c>
      <c r="Y30" s="154">
        <f t="shared" si="6"/>
        <v>1913625.05873892</v>
      </c>
      <c r="Z30" s="154">
        <f t="shared" si="6"/>
        <v>2014384.48318241</v>
      </c>
      <c r="AA30" s="154">
        <f t="shared" si="6"/>
        <v>2117524.5214633</v>
      </c>
      <c r="AB30" s="161"/>
    </row>
    <row r="31" ht="12" customHeight="1">
      <c r="A31" s="329" t="s">
        <v>243</v>
      </c>
      <c r="B31" s="339">
        <f>'6a-CashFlowYear1'!O32</f>
        <v>0</v>
      </c>
      <c r="C31" s="154">
        <f>IF(C30&lt;'4-AdditionalInputs'!$D$24,'4-AdditionalInputs'!$D$24-C30,0)</f>
        <v>0</v>
      </c>
      <c r="D31" s="154">
        <f>IF(D30&lt;'4-AdditionalInputs'!$D$24,'4-AdditionalInputs'!$D$24-D30,0)</f>
        <v>0</v>
      </c>
      <c r="E31" s="154">
        <f>IF(E30&lt;'4-AdditionalInputs'!$D$24,'4-AdditionalInputs'!$D$24-E30,0)</f>
        <v>0</v>
      </c>
      <c r="F31" s="154">
        <f>IF(F30&lt;'4-AdditionalInputs'!$D$24,'4-AdditionalInputs'!$D$24-F30,0)</f>
        <v>0</v>
      </c>
      <c r="G31" s="154">
        <f>IF(G30&lt;'4-AdditionalInputs'!$D$24,'4-AdditionalInputs'!$D$24-G30,0)</f>
        <v>0</v>
      </c>
      <c r="H31" s="154">
        <f>IF(H30&lt;'4-AdditionalInputs'!$D$24,'4-AdditionalInputs'!$D$24-H30,0)</f>
        <v>0</v>
      </c>
      <c r="I31" s="154">
        <f>IF(I30&lt;'4-AdditionalInputs'!$D$24,'4-AdditionalInputs'!$D$24-I30,0)</f>
        <v>0</v>
      </c>
      <c r="J31" s="154">
        <f>IF(J30&lt;'4-AdditionalInputs'!$D$24,'4-AdditionalInputs'!$D$24-J30,0)</f>
        <v>0</v>
      </c>
      <c r="K31" s="154">
        <f>IF(K30&lt;'4-AdditionalInputs'!$D$24,'4-AdditionalInputs'!$D$24-K30,0)</f>
        <v>0</v>
      </c>
      <c r="L31" s="154">
        <f>IF(L30&lt;'4-AdditionalInputs'!$D$24,'4-AdditionalInputs'!$D$24-L30,0)</f>
        <v>0</v>
      </c>
      <c r="M31" s="154">
        <f>IF(M30&lt;'4-AdditionalInputs'!$D$24,'4-AdditionalInputs'!$D$24-M30,0)</f>
        <v>0</v>
      </c>
      <c r="N31" s="154">
        <f>IF(N30&lt;'4-AdditionalInputs'!$D$24,'4-AdditionalInputs'!$D$24-N30,0)</f>
        <v>0</v>
      </c>
      <c r="O31" s="161">
        <f t="shared" si="2"/>
        <v>0</v>
      </c>
      <c r="P31" s="154">
        <f>IF(P30&lt;'4-AdditionalInputs'!$D$24,'4-AdditionalInputs'!$D$24-P30,0)</f>
        <v>0</v>
      </c>
      <c r="Q31" s="154">
        <f>IF(Q30&lt;'4-AdditionalInputs'!$D$24,'4-AdditionalInputs'!$D$24-Q30,0)</f>
        <v>0</v>
      </c>
      <c r="R31" s="154">
        <f>IF(R30&lt;'4-AdditionalInputs'!$D$24,'4-AdditionalInputs'!$D$24-R30,0)</f>
        <v>0</v>
      </c>
      <c r="S31" s="154">
        <f>IF(S30&lt;'4-AdditionalInputs'!$D$24,'4-AdditionalInputs'!$D$24-S30,0)</f>
        <v>0</v>
      </c>
      <c r="T31" s="154">
        <f>IF(T30&lt;'4-AdditionalInputs'!$D$24,'4-AdditionalInputs'!$D$24-T30,0)</f>
        <v>0</v>
      </c>
      <c r="U31" s="154">
        <f>IF(U30&lt;'4-AdditionalInputs'!$D$24,'4-AdditionalInputs'!$D$24-U30,0)</f>
        <v>0</v>
      </c>
      <c r="V31" s="154">
        <f>IF(V30&lt;'4-AdditionalInputs'!$D$24,'4-AdditionalInputs'!$D$24-V30,0)</f>
        <v>0</v>
      </c>
      <c r="W31" s="154">
        <f>IF(W30&lt;'4-AdditionalInputs'!$D$24,'4-AdditionalInputs'!$D$24-W30,0)</f>
        <v>0</v>
      </c>
      <c r="X31" s="154">
        <f>IF(X30&lt;'4-AdditionalInputs'!$D$24,'4-AdditionalInputs'!$D$24-X30,0)</f>
        <v>0</v>
      </c>
      <c r="Y31" s="154">
        <f>IF(Y30&lt;'4-AdditionalInputs'!$D$24,'4-AdditionalInputs'!$D$24-Y30,0)</f>
        <v>0</v>
      </c>
      <c r="Z31" s="154">
        <f>IF(Z30&lt;'4-AdditionalInputs'!$D$24,'4-AdditionalInputs'!$D$24-Z30,0)</f>
        <v>0</v>
      </c>
      <c r="AA31" s="154">
        <f>IF(AA30&lt;'4-AdditionalInputs'!$D$24,'4-AdditionalInputs'!$D$24-AA30,0)</f>
        <v>0</v>
      </c>
      <c r="AB31" s="161">
        <f t="shared" si="2"/>
        <v>0</v>
      </c>
    </row>
    <row r="32" ht="13.5" customHeight="1">
      <c r="A32" s="329" t="s">
        <v>244</v>
      </c>
      <c r="B32" s="329"/>
      <c r="C32" s="154">
        <f t="shared" si="7" ref="C32:AA32">SUM(C30+C31)</f>
        <v>273847.721133333</v>
      </c>
      <c r="D32" s="154">
        <f t="shared" si="7"/>
        <v>330387.304266666</v>
      </c>
      <c r="E32" s="154">
        <f t="shared" si="7"/>
        <v>389106.635199999</v>
      </c>
      <c r="F32" s="154">
        <f t="shared" si="7"/>
        <v>450071.106367332</v>
      </c>
      <c r="G32" s="154">
        <f t="shared" si="7"/>
        <v>513348.071975685</v>
      </c>
      <c r="H32" s="154">
        <f t="shared" si="7"/>
        <v>579006.906858289</v>
      </c>
      <c r="I32" s="154">
        <f t="shared" si="7"/>
        <v>647119.067093371</v>
      </c>
      <c r="J32" s="154">
        <f t="shared" si="7"/>
        <v>717758.152441505</v>
      </c>
      <c r="K32" s="154">
        <f t="shared" si="7"/>
        <v>790999.970656084</v>
      </c>
      <c r="L32" s="154">
        <f t="shared" si="7"/>
        <v>866922.6037231</v>
      </c>
      <c r="M32" s="154">
        <f t="shared" si="7"/>
        <v>945606.476088127</v>
      </c>
      <c r="N32" s="154">
        <f t="shared" si="7"/>
        <v>1027134.4249301</v>
      </c>
      <c r="O32" s="329"/>
      <c r="P32" s="154">
        <f t="shared" si="7"/>
        <v>1106509.78321208</v>
      </c>
      <c r="Q32" s="154">
        <f t="shared" si="7"/>
        <v>1187838.07400823</v>
      </c>
      <c r="R32" s="154">
        <f t="shared" si="7"/>
        <v>1271158.35596884</v>
      </c>
      <c r="S32" s="154">
        <f t="shared" si="7"/>
        <v>1356510.46891719</v>
      </c>
      <c r="T32" s="154">
        <f t="shared" si="7"/>
        <v>1443935.04947304</v>
      </c>
      <c r="U32" s="154">
        <f t="shared" si="7"/>
        <v>1533473.54698854</v>
      </c>
      <c r="V32" s="154">
        <f t="shared" si="7"/>
        <v>1625168.23980289</v>
      </c>
      <c r="W32" s="154">
        <f t="shared" si="7"/>
        <v>1719062.25182206</v>
      </c>
      <c r="X32" s="154">
        <f t="shared" si="7"/>
        <v>1815199.56943014</v>
      </c>
      <c r="Y32" s="154">
        <f t="shared" si="7"/>
        <v>1913625.05873892</v>
      </c>
      <c r="Z32" s="154">
        <f t="shared" si="7"/>
        <v>2014384.48318241</v>
      </c>
      <c r="AA32" s="154">
        <f t="shared" si="7"/>
        <v>2117524.5214633</v>
      </c>
      <c r="AB32" s="161"/>
    </row>
    <row r="33" ht="12" customHeight="1">
      <c r="A33" s="114" t="s">
        <v>245</v>
      </c>
      <c r="B33" s="114"/>
      <c r="C33" s="135">
        <f>IF(C31=0,'6a-CashFlowYear1'!N34-C26,'6a-CashFlowYear1'!N34+C31-C26)</f>
        <v>0</v>
      </c>
      <c r="D33" s="135">
        <f t="shared" si="8" ref="D33:AA33">D31+C33-D26</f>
        <v>0</v>
      </c>
      <c r="E33" s="135">
        <f t="shared" si="8"/>
        <v>0</v>
      </c>
      <c r="F33" s="135">
        <f t="shared" si="8"/>
        <v>0</v>
      </c>
      <c r="G33" s="135">
        <f t="shared" si="8"/>
        <v>0</v>
      </c>
      <c r="H33" s="135">
        <f t="shared" si="8"/>
        <v>0</v>
      </c>
      <c r="I33" s="135">
        <f t="shared" si="8"/>
        <v>0</v>
      </c>
      <c r="J33" s="135">
        <f t="shared" si="8"/>
        <v>0</v>
      </c>
      <c r="K33" s="135">
        <f t="shared" si="8"/>
        <v>0</v>
      </c>
      <c r="L33" s="135">
        <f t="shared" si="8"/>
        <v>0</v>
      </c>
      <c r="M33" s="135">
        <f t="shared" si="8"/>
        <v>0</v>
      </c>
      <c r="N33" s="135">
        <f t="shared" si="8"/>
        <v>0</v>
      </c>
      <c r="O33" s="114"/>
      <c r="P33" s="135">
        <f>IF(P31=0,N33-P26,N33+P31-P26)</f>
        <v>0</v>
      </c>
      <c r="Q33" s="135">
        <f t="shared" si="8"/>
        <v>0</v>
      </c>
      <c r="R33" s="135">
        <f t="shared" si="8"/>
        <v>0</v>
      </c>
      <c r="S33" s="135">
        <f t="shared" si="8"/>
        <v>0</v>
      </c>
      <c r="T33" s="135">
        <f t="shared" si="8"/>
        <v>0</v>
      </c>
      <c r="U33" s="135">
        <f t="shared" si="8"/>
        <v>0</v>
      </c>
      <c r="V33" s="135">
        <f t="shared" si="8"/>
        <v>0</v>
      </c>
      <c r="W33" s="135">
        <f t="shared" si="8"/>
        <v>0</v>
      </c>
      <c r="X33" s="135">
        <f t="shared" si="8"/>
        <v>0</v>
      </c>
      <c r="Y33" s="135">
        <f t="shared" si="8"/>
        <v>0</v>
      </c>
      <c r="Z33" s="135">
        <f t="shared" si="8"/>
        <v>0</v>
      </c>
      <c r="AA33" s="135">
        <f t="shared" si="8"/>
        <v>0</v>
      </c>
      <c r="AB33" s="161"/>
    </row>
  </sheetData>
  <sheetProtection sheet="1" objects="1" formatColumns="0" formatRows="0" password="CC3D"/>
  <conditionalFormatting sqref="C16:N16">
    <cfRule type="expression" dxfId="0" priority="24" stopIfTrue="1" text="null">
      <formula>LEN(TRIM(C16))=0</formula>
    </cfRule>
  </conditionalFormatting>
  <conditionalFormatting sqref="C24:N24 C26:N27">
    <cfRule type="expression" dxfId="0" priority="23" stopIfTrue="1" text="null">
      <formula>LEN(TRIM(C24))=0</formula>
    </cfRule>
  </conditionalFormatting>
  <conditionalFormatting sqref="C31:N31">
    <cfRule type="expression" dxfId="4" priority="14" text="null">
      <formula>LEN(TRIM(C31))=0</formula>
    </cfRule>
  </conditionalFormatting>
  <conditionalFormatting sqref="C32:N32">
    <cfRule type="expression" dxfId="6" priority="16" stopIfTrue="1" text="null">
      <formula>ISERROR(C32)</formula>
    </cfRule>
  </conditionalFormatting>
  <conditionalFormatting sqref="C23:AA23">
    <cfRule type="expression" dxfId="6" priority="5" stopIfTrue="1" text="null">
      <formula>ISERROR(C23)</formula>
    </cfRule>
  </conditionalFormatting>
  <conditionalFormatting sqref="C28:AB28 AB29">
    <cfRule type="expression" dxfId="7" priority="11" stopIfTrue="1" text="null">
      <formula>ISERROR(C28)</formula>
    </cfRule>
  </conditionalFormatting>
  <conditionalFormatting sqref="D31:N31 D7:N7 C29:N30">
    <cfRule type="expression" dxfId="6" priority="17" stopIfTrue="1" text="null">
      <formula>ISERROR(C7)</formula>
    </cfRule>
  </conditionalFormatting>
  <conditionalFormatting sqref="O29">
    <cfRule type="expression" dxfId="6" priority="4" stopIfTrue="1" text="null">
      <formula>ISERROR(O29)</formula>
    </cfRule>
  </conditionalFormatting>
  <conditionalFormatting sqref="O31">
    <cfRule type="expression" dxfId="6" priority="1" stopIfTrue="1" text="null">
      <formula>ISERROR(O31)</formula>
    </cfRule>
  </conditionalFormatting>
  <conditionalFormatting sqref="P16:AA16">
    <cfRule type="expression" dxfId="0" priority="22" stopIfTrue="1" text="null">
      <formula>LEN(TRIM(P16))=0</formula>
    </cfRule>
  </conditionalFormatting>
  <conditionalFormatting sqref="P24:AA24 P26:AA27">
    <cfRule type="expression" dxfId="0" priority="25" stopIfTrue="1" text="null">
      <formula>LEN(TRIM(P24))=0</formula>
    </cfRule>
  </conditionalFormatting>
  <conditionalFormatting sqref="P31:AA31">
    <cfRule type="expression" dxfId="4" priority="7" text="null">
      <formula>LEN(TRIM(P31))=0</formula>
    </cfRule>
  </conditionalFormatting>
  <conditionalFormatting sqref="P32:AA32">
    <cfRule type="expression" dxfId="6" priority="9" stopIfTrue="1" text="null">
      <formula>ISERROR(P32)</formula>
    </cfRule>
  </conditionalFormatting>
  <conditionalFormatting sqref="Q31:AA31 Q7:AA7 P29:AA30">
    <cfRule type="expression" dxfId="6" priority="10" stopIfTrue="1" text="null">
      <formula>ISERROR(P7)</formula>
    </cfRule>
  </conditionalFormatting>
  <conditionalFormatting sqref="AB30:AB33">
    <cfRule type="expression" dxfId="6" priority="8" stopIfTrue="1" text="null">
      <formula>ISERROR(AB30)</formula>
    </cfRule>
  </conditionalFormatting>
  <dataValidations count="1">
    <dataValidation allowBlank="1" showErrorMessage="1" showInputMessage="1" sqref="B4" type="textLength">
      <formula1>1</formula1>
      <formula2>15</formula2>
    </dataValidation>
  </dataValidations>
  <printOptions/>
  <pageMargins left="0.7" right="0.7" top="0.75" bottom="0.75" header="0.3" footer="0.3"/>
  <pageSetup paperSize="1" scale="71" pageOrder="downThenOver" orientation="landscape"/>
  <headerFooter differentFirst="1" scaleWithDoc="0">
    <oddHeader>&amp;L&amp;C&amp;"Gill Sans MT,Regular"&amp;12Cash Flow Forecast Years 1-3&amp;R</oddHeader>
    <oddFooter>&amp;L&amp;F&amp;C&amp;A&amp;R&amp;D &amp;T</oddFooter>
    <evenHeader>&amp;L&amp;C&amp;"Gill Sans MT,Regular"Cash Flow Forecast Years 1-3&amp;R</evenHeader>
    <firstHeader>&amp;L&amp;C&amp;"Gill Sans MT,Regular"&amp;12Cash Flow Forecast Years 1-3&amp;R</firstHeader>
    <firstFooter>&amp;L&amp;F&amp;C&amp;A&amp;R&amp;D &amp;T</firstFooter>
  </headerFooter>
  <colBreaks count="1" manualBreakCount="1">
    <brk id="15" man="1" max="16384"/>
  </colBreaks>
  <drawing r:id="rId3"/>
  <legacyDrawing r:id="rId2"/>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5B9CC28-A114-2FC8-644B-D23C073BB3A2}" mc:Ignorable="x14ac xr xr2 xr3">
  <sheetPr>
    <tabColor rgb="FFFFC95B"/>
  </sheetPr>
  <dimension ref="A1:GR50000"/>
  <sheetViews>
    <sheetView topLeftCell="A34" zoomScale="70" workbookViewId="0">
      <selection activeCell="B2" sqref="B2:C2"/>
    </sheetView>
  </sheetViews>
  <sheetFormatPr defaultRowHeight="12" defaultColWidth="9.140625" customHeight="1"/>
  <cols>
    <col min="1" max="1" style="94" width="9.140625" customWidth="1"/>
    <col min="2" max="2" style="94" width="46.7109375" customWidth="1"/>
    <col min="3" max="10" style="94" width="10.28125" customWidth="1"/>
    <col min="11" max="11" style="94" width="11.8515625" customWidth="1"/>
    <col min="12" max="12" style="94" width="10.28125" customWidth="1"/>
    <col min="13" max="13" style="94" width="10.00390625" customWidth="1"/>
    <col min="14" max="14" style="94" width="11.140625" customWidth="1"/>
    <col min="15" max="15" style="94" width="14.8515625" customWidth="1"/>
  </cols>
  <sheetData>
    <row r="1" ht="12" customHeight="1">
      <c r="B1" s="341"/>
      <c r="C1" s="341"/>
    </row>
    <row r="2" ht="12" customHeight="1">
      <c r="B2" s="90" t="s">
        <v>247</v>
      </c>
      <c r="C2" s="90"/>
    </row>
    <row r="3" ht="12" customHeight="1">
      <c r="B3" s="90"/>
      <c r="C3" s="89"/>
    </row>
    <row r="4" ht="12" customHeight="1">
      <c r="B4" s="93" t="s">
        <v>19</v>
      </c>
      <c r="C4" s="93" t="s">
        <v>20</v>
      </c>
      <c r="D4" s="93"/>
    </row>
    <row r="5" ht="12" customHeight="1">
      <c r="B5" s="141" t="str">
        <f>IF(ISBLANK(Directions!C10),"Owner",Directions!C10)</f>
        <v>Owner</v>
      </c>
      <c r="C5" s="141" t="str">
        <f>IF(ISBLANK(Directions!D10),"Company 1",Directions!D10)</f>
        <v>Company 1</v>
      </c>
      <c r="D5" s="141"/>
    </row>
    <row r="6" ht="12" customHeight="1">
      <c r="B6" s="141"/>
      <c r="C6" s="141"/>
    </row>
    <row r="7" ht="14.25" customHeight="1">
      <c r="B7" s="96"/>
      <c r="C7" s="96" t="str">
        <f>'2a-PayrollYear1'!F7</f>
        <v>Month 1</v>
      </c>
      <c r="D7" s="96" t="str">
        <f>'2a-PayrollYear1'!G7</f>
        <v>Month 2</v>
      </c>
      <c r="E7" s="96" t="str">
        <f>'2a-PayrollYear1'!H7</f>
        <v>Month 3</v>
      </c>
      <c r="F7" s="96" t="str">
        <f>'2a-PayrollYear1'!I7</f>
        <v>Month 4</v>
      </c>
      <c r="G7" s="96" t="str">
        <f>'2a-PayrollYear1'!J7</f>
        <v>Month 5</v>
      </c>
      <c r="H7" s="96" t="str">
        <f>'2a-PayrollYear1'!K7</f>
        <v>Month 6</v>
      </c>
      <c r="I7" s="96" t="str">
        <f>'2a-PayrollYear1'!L7</f>
        <v>Month 7</v>
      </c>
      <c r="J7" s="96" t="str">
        <f>'2a-PayrollYear1'!M7</f>
        <v>Month 8</v>
      </c>
      <c r="K7" s="96" t="str">
        <f>'2a-PayrollYear1'!N7</f>
        <v>Month 9</v>
      </c>
      <c r="L7" s="96" t="str">
        <f>'2a-PayrollYear1'!O7</f>
        <v>Month 10</v>
      </c>
      <c r="M7" s="96" t="str">
        <f>'2a-PayrollYear1'!P7</f>
        <v>Month 11</v>
      </c>
      <c r="N7" s="96" t="str">
        <f>'2a-PayrollYear1'!Q7</f>
        <v>Month 12</v>
      </c>
      <c r="O7" s="96" t="str">
        <f>'2a-PayrollYear1'!R7</f>
        <v>Annual Totals</v>
      </c>
    </row>
    <row r="8" ht="12.75" customHeight="1">
      <c r="B8" s="327" t="s">
        <v>248</v>
      </c>
      <c r="C8" s="98"/>
      <c r="D8" s="98"/>
      <c r="E8" s="98"/>
      <c r="F8" s="98"/>
      <c r="G8" s="98"/>
      <c r="H8" s="98"/>
      <c r="I8" s="98"/>
      <c r="J8" s="98"/>
      <c r="K8" s="98"/>
      <c r="L8" s="98"/>
      <c r="M8" s="98"/>
      <c r="N8" s="98"/>
      <c r="O8" s="98"/>
    </row>
    <row r="9" ht="13.5" customHeight="1">
      <c r="B9" s="342" t="str">
        <f>'3a-SalesForecastYear1'!B17</f>
        <v>Number of Contractors</v>
      </c>
      <c r="C9" s="343">
        <f>'3a-SalesForecastYear1'!C19</f>
        <v>9720</v>
      </c>
      <c r="D9" s="343">
        <f>'3a-SalesForecastYear1'!D19</f>
        <v>9720</v>
      </c>
      <c r="E9" s="343">
        <f>'3a-SalesForecastYear1'!E19</f>
        <v>9720</v>
      </c>
      <c r="F9" s="343">
        <f>'3a-SalesForecastYear1'!F19</f>
        <v>18900</v>
      </c>
      <c r="G9" s="343">
        <f>'3a-SalesForecastYear1'!G19</f>
        <v>18900</v>
      </c>
      <c r="H9" s="343">
        <f>'3a-SalesForecastYear1'!H19</f>
        <v>18900</v>
      </c>
      <c r="I9" s="343">
        <f>'3a-SalesForecastYear1'!I19</f>
        <v>28620</v>
      </c>
      <c r="J9" s="343">
        <f>'3a-SalesForecastYear1'!J19</f>
        <v>28620</v>
      </c>
      <c r="K9" s="343">
        <f>'3a-SalesForecastYear1'!K19</f>
        <v>37800</v>
      </c>
      <c r="L9" s="343">
        <f>'3a-SalesForecastYear1'!L19</f>
        <v>37800</v>
      </c>
      <c r="M9" s="343">
        <f>'3a-SalesForecastYear1'!M19</f>
        <v>47520</v>
      </c>
      <c r="N9" s="343">
        <f>'3a-SalesForecastYear1'!N19</f>
        <v>57240</v>
      </c>
      <c r="O9" s="135">
        <f t="shared" si="0" ref="O9:O60">SUM(C9:N9)</f>
        <v>323460</v>
      </c>
    </row>
    <row r="10" ht="13.5" customHeight="1">
      <c r="B10" s="344" t="str">
        <f>'3a-SalesForecastYear1'!B23</f>
        <v>Immediate Revenue (70%)</v>
      </c>
      <c r="C10" s="343">
        <f>'3a-SalesForecastYear1'!C25</f>
        <v>6804</v>
      </c>
      <c r="D10" s="343">
        <f>'3a-SalesForecastYear1'!D25</f>
        <v>6804</v>
      </c>
      <c r="E10" s="343">
        <f>'3a-SalesForecastYear1'!E25</f>
        <v>6804</v>
      </c>
      <c r="F10" s="343">
        <f>'3a-SalesForecastYear1'!F25</f>
        <v>13230</v>
      </c>
      <c r="G10" s="343">
        <f>'3a-SalesForecastYear1'!G25</f>
        <v>13230</v>
      </c>
      <c r="H10" s="343">
        <f>'3a-SalesForecastYear1'!H25</f>
        <v>13230</v>
      </c>
      <c r="I10" s="343">
        <f>'3a-SalesForecastYear1'!I25</f>
        <v>20034</v>
      </c>
      <c r="J10" s="343">
        <f>'3a-SalesForecastYear1'!J25</f>
        <v>20034</v>
      </c>
      <c r="K10" s="343">
        <f>'3a-SalesForecastYear1'!K25</f>
        <v>26460</v>
      </c>
      <c r="L10" s="343">
        <f>'3a-SalesForecastYear1'!L25</f>
        <v>26460</v>
      </c>
      <c r="M10" s="343">
        <f>'3a-SalesForecastYear1'!M25</f>
        <v>33264</v>
      </c>
      <c r="N10" s="343">
        <f>'3a-SalesForecastYear1'!N25</f>
        <v>40068</v>
      </c>
      <c r="O10" s="135">
        <f t="shared" si="0"/>
        <v>226422</v>
      </c>
    </row>
    <row r="11" ht="13.5" customHeight="1">
      <c r="B11" s="342" t="str">
        <f>'3a-SalesForecastYear1'!B29</f>
        <v>Deferred Revenue - 1 Month (20%)</v>
      </c>
      <c r="C11" s="343">
        <f>'3a-SalesForecastYear1'!C31</f>
        <v>0</v>
      </c>
      <c r="D11" s="343">
        <f>'3a-SalesForecastYear1'!D31</f>
        <v>1944</v>
      </c>
      <c r="E11" s="343">
        <f>'3a-SalesForecastYear1'!E31</f>
        <v>1944</v>
      </c>
      <c r="F11" s="343">
        <f>'3a-SalesForecastYear1'!F31</f>
        <v>1944</v>
      </c>
      <c r="G11" s="343">
        <f>'3a-SalesForecastYear1'!G31</f>
        <v>3780</v>
      </c>
      <c r="H11" s="343">
        <f>'3a-SalesForecastYear1'!H31</f>
        <v>3780</v>
      </c>
      <c r="I11" s="343">
        <f>'3a-SalesForecastYear1'!I31</f>
        <v>3780</v>
      </c>
      <c r="J11" s="343">
        <f>'3a-SalesForecastYear1'!J31</f>
        <v>5724</v>
      </c>
      <c r="K11" s="343">
        <f>'3a-SalesForecastYear1'!K31</f>
        <v>5724</v>
      </c>
      <c r="L11" s="343">
        <f>'3a-SalesForecastYear1'!L31</f>
        <v>7560</v>
      </c>
      <c r="M11" s="343">
        <f>'3a-SalesForecastYear1'!M31</f>
        <v>7560</v>
      </c>
      <c r="N11" s="343">
        <f>'3a-SalesForecastYear1'!N31</f>
        <v>9504</v>
      </c>
      <c r="O11" s="135">
        <f t="shared" si="0"/>
        <v>53244</v>
      </c>
    </row>
    <row r="12" ht="13.5" customHeight="1">
      <c r="B12" s="342" t="str">
        <f>'3a-SalesForecastYear1'!B35</f>
        <v>Deferred Revenue - 6 Months (10%)</v>
      </c>
      <c r="C12" s="343">
        <f>'3a-SalesForecastYear1'!C37</f>
        <v>0</v>
      </c>
      <c r="D12" s="343">
        <f>'3a-SalesForecastYear1'!D37</f>
        <v>0</v>
      </c>
      <c r="E12" s="343">
        <f>'3a-SalesForecastYear1'!E37</f>
        <v>0</v>
      </c>
      <c r="F12" s="343">
        <f>'3a-SalesForecastYear1'!F37</f>
        <v>0</v>
      </c>
      <c r="G12" s="343">
        <f>'3a-SalesForecastYear1'!G37</f>
        <v>0</v>
      </c>
      <c r="H12" s="343">
        <f>'3a-SalesForecastYear1'!H37</f>
        <v>0</v>
      </c>
      <c r="I12" s="343">
        <f>'3a-SalesForecastYear1'!I37</f>
        <v>972</v>
      </c>
      <c r="J12" s="343">
        <f>'3a-SalesForecastYear1'!J37</f>
        <v>972</v>
      </c>
      <c r="K12" s="343">
        <f>'3a-SalesForecastYear1'!K37</f>
        <v>972</v>
      </c>
      <c r="L12" s="343">
        <f>'3a-SalesForecastYear1'!L37</f>
        <v>1890</v>
      </c>
      <c r="M12" s="343">
        <f>'3a-SalesForecastYear1'!M37</f>
        <v>1890</v>
      </c>
      <c r="N12" s="343">
        <f>'3a-SalesForecastYear1'!N37</f>
        <v>1890</v>
      </c>
      <c r="O12" s="135">
        <f t="shared" si="0"/>
        <v>8586</v>
      </c>
    </row>
    <row r="13" ht="12" customHeight="1">
      <c r="B13" s="342" t="str">
        <f>'3a-SalesForecastYear1'!B41</f>
        <v>Product 5</v>
      </c>
      <c r="C13" s="343">
        <f>'3a-SalesForecastYear1'!C43</f>
        <v>0</v>
      </c>
      <c r="D13" s="343">
        <f>'3a-SalesForecastYear1'!D43</f>
        <v>0</v>
      </c>
      <c r="E13" s="343">
        <f>'3a-SalesForecastYear1'!E43</f>
        <v>0</v>
      </c>
      <c r="F13" s="343">
        <f>'3a-SalesForecastYear1'!F43</f>
        <v>0</v>
      </c>
      <c r="G13" s="343">
        <f>'3a-SalesForecastYear1'!G43</f>
        <v>0</v>
      </c>
      <c r="H13" s="343">
        <f>'3a-SalesForecastYear1'!H43</f>
        <v>0</v>
      </c>
      <c r="I13" s="343">
        <f>'3a-SalesForecastYear1'!I43</f>
        <v>0</v>
      </c>
      <c r="J13" s="343">
        <f>'3a-SalesForecastYear1'!J43</f>
        <v>0</v>
      </c>
      <c r="K13" s="343">
        <f>'3a-SalesForecastYear1'!K43</f>
        <v>0</v>
      </c>
      <c r="L13" s="343">
        <f>'3a-SalesForecastYear1'!L43</f>
        <v>0</v>
      </c>
      <c r="M13" s="343">
        <f>'3a-SalesForecastYear1'!M43</f>
        <v>0</v>
      </c>
      <c r="N13" s="343">
        <f>'3a-SalesForecastYear1'!N43</f>
        <v>0</v>
      </c>
      <c r="O13" s="135">
        <f t="shared" si="0"/>
        <v>0</v>
      </c>
    </row>
    <row r="14" ht="12" customHeight="1">
      <c r="B14" s="342" t="str">
        <f>'3a-SalesForecastYear1'!B47</f>
        <v>Product 6</v>
      </c>
      <c r="C14" s="343">
        <f>'3a-SalesForecastYear1'!C49</f>
        <v>0</v>
      </c>
      <c r="D14" s="343">
        <f>'3a-SalesForecastYear1'!D49</f>
        <v>0</v>
      </c>
      <c r="E14" s="343">
        <f>'3a-SalesForecastYear1'!E49</f>
        <v>0</v>
      </c>
      <c r="F14" s="343">
        <f>'3a-SalesForecastYear1'!F49</f>
        <v>0</v>
      </c>
      <c r="G14" s="343">
        <f>'3a-SalesForecastYear1'!G49</f>
        <v>0</v>
      </c>
      <c r="H14" s="343">
        <f>'3a-SalesForecastYear1'!H49</f>
        <v>0</v>
      </c>
      <c r="I14" s="343">
        <f>'3a-SalesForecastYear1'!I49</f>
        <v>0</v>
      </c>
      <c r="J14" s="343">
        <f>'3a-SalesForecastYear1'!J49</f>
        <v>0</v>
      </c>
      <c r="K14" s="343">
        <f>'3a-SalesForecastYear1'!K49</f>
        <v>0</v>
      </c>
      <c r="L14" s="343">
        <f>'3a-SalesForecastYear1'!L49</f>
        <v>0</v>
      </c>
      <c r="M14" s="343">
        <f>'3a-SalesForecastYear1'!M49</f>
        <v>0</v>
      </c>
      <c r="N14" s="343">
        <f>'3a-SalesForecastYear1'!N49</f>
        <v>0</v>
      </c>
      <c r="O14" s="135">
        <f t="shared" si="0"/>
        <v>0</v>
      </c>
    </row>
    <row r="15" ht="13.5" customHeight="1">
      <c r="B15" s="329" t="s">
        <v>249</v>
      </c>
      <c r="C15" s="135">
        <f t="shared" si="1" ref="C15:N23">SUM(C9:C14)</f>
        <v>16524</v>
      </c>
      <c r="D15" s="135">
        <f t="shared" si="1"/>
        <v>18468</v>
      </c>
      <c r="E15" s="135">
        <f t="shared" si="1"/>
        <v>18468</v>
      </c>
      <c r="F15" s="135">
        <f t="shared" si="1"/>
        <v>34074</v>
      </c>
      <c r="G15" s="135">
        <f t="shared" si="1"/>
        <v>35910</v>
      </c>
      <c r="H15" s="135">
        <f t="shared" si="1"/>
        <v>35910</v>
      </c>
      <c r="I15" s="135">
        <f t="shared" si="1"/>
        <v>53406</v>
      </c>
      <c r="J15" s="135">
        <f t="shared" si="1"/>
        <v>55350</v>
      </c>
      <c r="K15" s="135">
        <f t="shared" si="1"/>
        <v>70956</v>
      </c>
      <c r="L15" s="135">
        <f t="shared" si="1"/>
        <v>73710</v>
      </c>
      <c r="M15" s="135">
        <f t="shared" si="1"/>
        <v>90234</v>
      </c>
      <c r="N15" s="135">
        <f t="shared" si="1"/>
        <v>108702</v>
      </c>
      <c r="O15" s="135">
        <f t="shared" si="0"/>
        <v>611712</v>
      </c>
    </row>
    <row r="16" ht="12" customHeight="1">
      <c r="B16" s="329" t="s">
        <v>229</v>
      </c>
      <c r="C16" s="105"/>
      <c r="D16" s="105"/>
      <c r="E16" s="105"/>
      <c r="F16" s="105"/>
      <c r="G16" s="105"/>
      <c r="H16" s="105"/>
      <c r="I16" s="105"/>
      <c r="J16" s="105"/>
      <c r="K16" s="105"/>
      <c r="L16" s="105"/>
      <c r="M16" s="105"/>
      <c r="N16" s="105"/>
      <c r="O16" s="135"/>
    </row>
    <row r="17" ht="13.5" customHeight="1">
      <c r="B17" s="342" t="str">
        <f>'3a-SalesForecastYear1'!B17</f>
        <v>Number of Contractors</v>
      </c>
      <c r="C17" s="343">
        <f>'3a-SalesForecastYear1'!C20</f>
        <v>3240</v>
      </c>
      <c r="D17" s="343">
        <f>'3a-SalesForecastYear1'!D20</f>
        <v>3240</v>
      </c>
      <c r="E17" s="343">
        <f>'3a-SalesForecastYear1'!E20</f>
        <v>3240</v>
      </c>
      <c r="F17" s="343">
        <f>'3a-SalesForecastYear1'!F20</f>
        <v>6300</v>
      </c>
      <c r="G17" s="343">
        <f>'3a-SalesForecastYear1'!G20</f>
        <v>6300</v>
      </c>
      <c r="H17" s="343">
        <f>'3a-SalesForecastYear1'!H20</f>
        <v>6300</v>
      </c>
      <c r="I17" s="343">
        <f>'3a-SalesForecastYear1'!I20</f>
        <v>9540</v>
      </c>
      <c r="J17" s="343">
        <f>'3a-SalesForecastYear1'!J20</f>
        <v>9540</v>
      </c>
      <c r="K17" s="343">
        <f>'3a-SalesForecastYear1'!K20</f>
        <v>12600</v>
      </c>
      <c r="L17" s="343">
        <f>'3a-SalesForecastYear1'!L20</f>
        <v>12600</v>
      </c>
      <c r="M17" s="343">
        <f>'3a-SalesForecastYear1'!M20</f>
        <v>15840</v>
      </c>
      <c r="N17" s="343">
        <f>'3a-SalesForecastYear1'!N20</f>
        <v>19080</v>
      </c>
      <c r="O17" s="135">
        <f t="shared" si="0"/>
        <v>107820</v>
      </c>
    </row>
    <row r="18" ht="13.5" customHeight="1">
      <c r="B18" s="344" t="str">
        <f>'3a-SalesForecastYear1'!B23</f>
        <v>Immediate Revenue (70%)</v>
      </c>
      <c r="C18" s="343">
        <f>'3a-SalesForecastYear1'!C26</f>
        <v>3240</v>
      </c>
      <c r="D18" s="343">
        <f>'3a-SalesForecastYear1'!D26</f>
        <v>3240</v>
      </c>
      <c r="E18" s="343">
        <f>'3a-SalesForecastYear1'!E26</f>
        <v>3240</v>
      </c>
      <c r="F18" s="343">
        <f>'3a-SalesForecastYear1'!F26</f>
        <v>6300</v>
      </c>
      <c r="G18" s="343">
        <f>'3a-SalesForecastYear1'!G26</f>
        <v>6300</v>
      </c>
      <c r="H18" s="343">
        <f>'3a-SalesForecastYear1'!H26</f>
        <v>6300</v>
      </c>
      <c r="I18" s="343">
        <f>'3a-SalesForecastYear1'!I26</f>
        <v>9540</v>
      </c>
      <c r="J18" s="343">
        <f>'3a-SalesForecastYear1'!J26</f>
        <v>9540</v>
      </c>
      <c r="K18" s="343">
        <f>'3a-SalesForecastYear1'!K26</f>
        <v>12600</v>
      </c>
      <c r="L18" s="343">
        <f>'3a-SalesForecastYear1'!L26</f>
        <v>12600</v>
      </c>
      <c r="M18" s="343">
        <f>'3a-SalesForecastYear1'!M26</f>
        <v>15840</v>
      </c>
      <c r="N18" s="343">
        <f>'3a-SalesForecastYear1'!N26</f>
        <v>19080</v>
      </c>
      <c r="O18" s="135">
        <f t="shared" si="0"/>
        <v>107820</v>
      </c>
    </row>
    <row r="19" ht="13.5" customHeight="1">
      <c r="B19" s="342" t="str">
        <f>'3a-SalesForecastYear1'!B29</f>
        <v>Deferred Revenue - 1 Month (20%)</v>
      </c>
      <c r="C19" s="343">
        <f>'3a-SalesForecastYear1'!C32</f>
        <v>0</v>
      </c>
      <c r="D19" s="343">
        <f>'3a-SalesForecastYear1'!D32</f>
        <v>0</v>
      </c>
      <c r="E19" s="343">
        <f>'3a-SalesForecastYear1'!E32</f>
        <v>0</v>
      </c>
      <c r="F19" s="343">
        <f>'3a-SalesForecastYear1'!F32</f>
        <v>0</v>
      </c>
      <c r="G19" s="343">
        <f>'3a-SalesForecastYear1'!G32</f>
        <v>0</v>
      </c>
      <c r="H19" s="343">
        <f>'3a-SalesForecastYear1'!H32</f>
        <v>0</v>
      </c>
      <c r="I19" s="343">
        <f>'3a-SalesForecastYear1'!I32</f>
        <v>0</v>
      </c>
      <c r="J19" s="343">
        <f>'3a-SalesForecastYear1'!J32</f>
        <v>0</v>
      </c>
      <c r="K19" s="343">
        <f>'3a-SalesForecastYear1'!K32</f>
        <v>0</v>
      </c>
      <c r="L19" s="343">
        <f>'3a-SalesForecastYear1'!L32</f>
        <v>0</v>
      </c>
      <c r="M19" s="343">
        <f>'3a-SalesForecastYear1'!M32</f>
        <v>0</v>
      </c>
      <c r="N19" s="343">
        <f>'3a-SalesForecastYear1'!N32</f>
        <v>0</v>
      </c>
      <c r="O19" s="135">
        <f t="shared" si="0"/>
        <v>0</v>
      </c>
    </row>
    <row r="20" ht="13.5" customHeight="1">
      <c r="B20" s="342" t="str">
        <f>'3a-SalesForecastYear1'!B35</f>
        <v>Deferred Revenue - 6 Months (10%)</v>
      </c>
      <c r="C20" s="343">
        <f>'3a-SalesForecastYear1'!C38</f>
        <v>0</v>
      </c>
      <c r="D20" s="343">
        <f>'3a-SalesForecastYear1'!D38</f>
        <v>0</v>
      </c>
      <c r="E20" s="343">
        <f>'3a-SalesForecastYear1'!E38</f>
        <v>0</v>
      </c>
      <c r="F20" s="343">
        <f>'3a-SalesForecastYear1'!F38</f>
        <v>0</v>
      </c>
      <c r="G20" s="343">
        <f>'3a-SalesForecastYear1'!G38</f>
        <v>0</v>
      </c>
      <c r="H20" s="343">
        <f>'3a-SalesForecastYear1'!H38</f>
        <v>0</v>
      </c>
      <c r="I20" s="343">
        <f>'3a-SalesForecastYear1'!I38</f>
        <v>0</v>
      </c>
      <c r="J20" s="343">
        <f>'3a-SalesForecastYear1'!J38</f>
        <v>0</v>
      </c>
      <c r="K20" s="343">
        <f>'3a-SalesForecastYear1'!K38</f>
        <v>0</v>
      </c>
      <c r="L20" s="343">
        <f>'3a-SalesForecastYear1'!L38</f>
        <v>0</v>
      </c>
      <c r="M20" s="343">
        <f>'3a-SalesForecastYear1'!M38</f>
        <v>0</v>
      </c>
      <c r="N20" s="343">
        <f>'3a-SalesForecastYear1'!N38</f>
        <v>0</v>
      </c>
      <c r="O20" s="135">
        <f t="shared" si="0"/>
        <v>0</v>
      </c>
    </row>
    <row r="21" ht="12" customHeight="1">
      <c r="B21" s="342" t="str">
        <f>'3a-SalesForecastYear1'!B41</f>
        <v>Product 5</v>
      </c>
      <c r="C21" s="343">
        <f>'3a-SalesForecastYear1'!C44</f>
        <v>0</v>
      </c>
      <c r="D21" s="343">
        <f>'3a-SalesForecastYear1'!D44</f>
        <v>0</v>
      </c>
      <c r="E21" s="343">
        <f>'3a-SalesForecastYear1'!E44</f>
        <v>0</v>
      </c>
      <c r="F21" s="343">
        <f>'3a-SalesForecastYear1'!F44</f>
        <v>0</v>
      </c>
      <c r="G21" s="343">
        <f>'3a-SalesForecastYear1'!G44</f>
        <v>0</v>
      </c>
      <c r="H21" s="343">
        <f>'3a-SalesForecastYear1'!H44</f>
        <v>0</v>
      </c>
      <c r="I21" s="343">
        <f>'3a-SalesForecastYear1'!I44</f>
        <v>0</v>
      </c>
      <c r="J21" s="343">
        <f>'3a-SalesForecastYear1'!J44</f>
        <v>0</v>
      </c>
      <c r="K21" s="343">
        <f>'3a-SalesForecastYear1'!K44</f>
        <v>0</v>
      </c>
      <c r="L21" s="343">
        <f>'3a-SalesForecastYear1'!L44</f>
        <v>0</v>
      </c>
      <c r="M21" s="343">
        <f>'3a-SalesForecastYear1'!M44</f>
        <v>0</v>
      </c>
      <c r="N21" s="343">
        <f>'3a-SalesForecastYear1'!N44</f>
        <v>0</v>
      </c>
      <c r="O21" s="135">
        <f t="shared" si="0"/>
        <v>0</v>
      </c>
    </row>
    <row r="22" ht="12" customHeight="1">
      <c r="B22" s="342" t="str">
        <f>'3a-SalesForecastYear1'!B47</f>
        <v>Product 6</v>
      </c>
      <c r="C22" s="343">
        <f>'3a-SalesForecastYear1'!C50</f>
        <v>0</v>
      </c>
      <c r="D22" s="343">
        <f>'3a-SalesForecastYear1'!D50</f>
        <v>0</v>
      </c>
      <c r="E22" s="343">
        <f>'3a-SalesForecastYear1'!E50</f>
        <v>0</v>
      </c>
      <c r="F22" s="343">
        <f>'3a-SalesForecastYear1'!F50</f>
        <v>0</v>
      </c>
      <c r="G22" s="343">
        <f>'3a-SalesForecastYear1'!G50</f>
        <v>0</v>
      </c>
      <c r="H22" s="343">
        <f>'3a-SalesForecastYear1'!H50</f>
        <v>0</v>
      </c>
      <c r="I22" s="343">
        <f>'3a-SalesForecastYear1'!I50</f>
        <v>0</v>
      </c>
      <c r="J22" s="343">
        <f>'3a-SalesForecastYear1'!J50</f>
        <v>0</v>
      </c>
      <c r="K22" s="343">
        <f>'3a-SalesForecastYear1'!K50</f>
        <v>0</v>
      </c>
      <c r="L22" s="343">
        <f>'3a-SalesForecastYear1'!L50</f>
        <v>0</v>
      </c>
      <c r="M22" s="343">
        <f>'3a-SalesForecastYear1'!M50</f>
        <v>0</v>
      </c>
      <c r="N22" s="343">
        <f>'3a-SalesForecastYear1'!N50</f>
        <v>0</v>
      </c>
      <c r="O22" s="135">
        <f t="shared" si="0"/>
        <v>0</v>
      </c>
    </row>
    <row r="23" ht="13.5" customHeight="1">
      <c r="B23" s="345" t="s">
        <v>140</v>
      </c>
      <c r="C23" s="135">
        <f t="shared" si="1"/>
        <v>6480</v>
      </c>
      <c r="D23" s="135">
        <f t="shared" si="1"/>
        <v>6480</v>
      </c>
      <c r="E23" s="135">
        <f t="shared" si="1"/>
        <v>6480</v>
      </c>
      <c r="F23" s="135">
        <f t="shared" si="1"/>
        <v>12600</v>
      </c>
      <c r="G23" s="135">
        <f t="shared" si="1"/>
        <v>12600</v>
      </c>
      <c r="H23" s="135">
        <f t="shared" si="1"/>
        <v>12600</v>
      </c>
      <c r="I23" s="135">
        <f t="shared" si="1"/>
        <v>19080</v>
      </c>
      <c r="J23" s="135">
        <f t="shared" si="1"/>
        <v>19080</v>
      </c>
      <c r="K23" s="135">
        <f t="shared" si="1"/>
        <v>25200</v>
      </c>
      <c r="L23" s="135">
        <f t="shared" si="1"/>
        <v>25200</v>
      </c>
      <c r="M23" s="135">
        <f t="shared" si="1"/>
        <v>31680</v>
      </c>
      <c r="N23" s="135">
        <f t="shared" si="1"/>
        <v>38160</v>
      </c>
      <c r="O23" s="135">
        <f t="shared" si="0"/>
        <v>215640</v>
      </c>
    </row>
    <row r="24" ht="13.5" customHeight="1">
      <c r="B24" s="329" t="s">
        <v>250</v>
      </c>
      <c r="C24" s="135">
        <f t="shared" si="2" ref="C24:N24">C15-C23</f>
        <v>10044</v>
      </c>
      <c r="D24" s="135">
        <f t="shared" si="2"/>
        <v>11988</v>
      </c>
      <c r="E24" s="135">
        <f t="shared" si="2"/>
        <v>11988</v>
      </c>
      <c r="F24" s="135">
        <f t="shared" si="2"/>
        <v>21474</v>
      </c>
      <c r="G24" s="135">
        <f t="shared" si="2"/>
        <v>23310</v>
      </c>
      <c r="H24" s="135">
        <f t="shared" si="2"/>
        <v>23310</v>
      </c>
      <c r="I24" s="135">
        <f t="shared" si="2"/>
        <v>34326</v>
      </c>
      <c r="J24" s="135">
        <f t="shared" si="2"/>
        <v>36270</v>
      </c>
      <c r="K24" s="135">
        <f t="shared" si="2"/>
        <v>45756</v>
      </c>
      <c r="L24" s="135">
        <f t="shared" si="2"/>
        <v>48510</v>
      </c>
      <c r="M24" s="135">
        <f t="shared" si="2"/>
        <v>58554</v>
      </c>
      <c r="N24" s="135">
        <f t="shared" si="2"/>
        <v>70542</v>
      </c>
      <c r="O24" s="135">
        <f t="shared" si="0"/>
        <v>396072</v>
      </c>
    </row>
    <row r="25" ht="13.5" customHeight="1">
      <c r="B25" s="329" t="s">
        <v>232</v>
      </c>
      <c r="C25" s="135">
        <f>'2a-PayrollYear1'!F25</f>
        <v>23.625</v>
      </c>
      <c r="D25" s="135">
        <f>'2a-PayrollYear1'!G25</f>
        <v>23.625</v>
      </c>
      <c r="E25" s="135">
        <f>'2a-PayrollYear1'!H25</f>
        <v>23.625</v>
      </c>
      <c r="F25" s="135">
        <f>'2a-PayrollYear1'!I25</f>
        <v>3253.125</v>
      </c>
      <c r="G25" s="135">
        <f>'2a-PayrollYear1'!J25</f>
        <v>4329.625</v>
      </c>
      <c r="H25" s="135">
        <f>'2a-PayrollYear1'!K25</f>
        <v>5406.125</v>
      </c>
      <c r="I25" s="135">
        <f>'2a-PayrollYear1'!L25</f>
        <v>6482.625</v>
      </c>
      <c r="J25" s="135">
        <f>'2a-PayrollYear1'!M25</f>
        <v>6482.625</v>
      </c>
      <c r="K25" s="135">
        <f>'2a-PayrollYear1'!N25</f>
        <v>7200.6505</v>
      </c>
      <c r="L25" s="135">
        <f>'2a-PayrollYear1'!O25</f>
        <v>7200.6505</v>
      </c>
      <c r="M25" s="135">
        <f>'2a-PayrollYear1'!P25</f>
        <v>7200.6505</v>
      </c>
      <c r="N25" s="135">
        <f>'2a-PayrollYear1'!Q25</f>
        <v>7200.6505</v>
      </c>
      <c r="O25" s="135">
        <f t="shared" si="0"/>
        <v>54827.602</v>
      </c>
    </row>
    <row r="26" ht="12" customHeight="1">
      <c r="B26" s="329" t="s">
        <v>231</v>
      </c>
      <c r="C26" s="105"/>
      <c r="D26" s="105"/>
      <c r="E26" s="105"/>
      <c r="F26" s="105"/>
      <c r="G26" s="105"/>
      <c r="H26" s="105"/>
      <c r="I26" s="105"/>
      <c r="J26" s="105"/>
      <c r="K26" s="105"/>
      <c r="L26" s="105"/>
      <c r="M26" s="105"/>
      <c r="N26" s="105"/>
      <c r="O26" s="135"/>
    </row>
    <row r="27" ht="12" customHeight="1">
      <c r="B27" s="331" t="str">
        <f>'5a-OpExYear1'!B10</f>
        <v>Advertising</v>
      </c>
      <c r="C27" s="343">
        <f>'5a-OpExYear1'!C10</f>
        <v>0</v>
      </c>
      <c r="D27" s="343">
        <f>'5a-OpExYear1'!D10</f>
        <v>0</v>
      </c>
      <c r="E27" s="343">
        <f>'5a-OpExYear1'!E10</f>
        <v>0</v>
      </c>
      <c r="F27" s="343">
        <f>'5a-OpExYear1'!F10</f>
        <v>0</v>
      </c>
      <c r="G27" s="343">
        <f>'5a-OpExYear1'!G10</f>
        <v>0</v>
      </c>
      <c r="H27" s="343">
        <f>'5a-OpExYear1'!H10</f>
        <v>0</v>
      </c>
      <c r="I27" s="343">
        <f>'5a-OpExYear1'!I10</f>
        <v>0</v>
      </c>
      <c r="J27" s="343">
        <f>'5a-OpExYear1'!J10</f>
        <v>0</v>
      </c>
      <c r="K27" s="343">
        <f>'5a-OpExYear1'!K10</f>
        <v>0</v>
      </c>
      <c r="L27" s="343">
        <f>'5a-OpExYear1'!L10</f>
        <v>0</v>
      </c>
      <c r="M27" s="343">
        <f>'5a-OpExYear1'!M10</f>
        <v>0</v>
      </c>
      <c r="N27" s="343">
        <f>'5a-OpExYear1'!N10</f>
        <v>0</v>
      </c>
      <c r="O27" s="135">
        <f t="shared" si="0"/>
        <v>0</v>
      </c>
    </row>
    <row r="28" ht="12" customHeight="1">
      <c r="B28" s="331" t="str">
        <f>'5a-OpExYear1'!B11</f>
        <v>Car and Truck Expenses</v>
      </c>
      <c r="C28" s="343">
        <f>'5a-OpExYear1'!C11</f>
        <v>0</v>
      </c>
      <c r="D28" s="343">
        <f>'5a-OpExYear1'!D11</f>
        <v>0</v>
      </c>
      <c r="E28" s="343">
        <f>'5a-OpExYear1'!E11</f>
        <v>0</v>
      </c>
      <c r="F28" s="343">
        <f>'5a-OpExYear1'!F11</f>
        <v>0</v>
      </c>
      <c r="G28" s="343">
        <f>'5a-OpExYear1'!G11</f>
        <v>0</v>
      </c>
      <c r="H28" s="343">
        <f>'5a-OpExYear1'!H11</f>
        <v>0</v>
      </c>
      <c r="I28" s="343">
        <f>'5a-OpExYear1'!I11</f>
        <v>0</v>
      </c>
      <c r="J28" s="343">
        <f>'5a-OpExYear1'!J11</f>
        <v>0</v>
      </c>
      <c r="K28" s="343">
        <f>'5a-OpExYear1'!K11</f>
        <v>0</v>
      </c>
      <c r="L28" s="343">
        <f>'5a-OpExYear1'!L11</f>
        <v>0</v>
      </c>
      <c r="M28" s="343">
        <f>'5a-OpExYear1'!M11</f>
        <v>0</v>
      </c>
      <c r="N28" s="343">
        <f>'5a-OpExYear1'!N11</f>
        <v>0</v>
      </c>
      <c r="O28" s="135">
        <f t="shared" si="0"/>
        <v>0</v>
      </c>
    </row>
    <row r="29" ht="13.5" customHeight="1">
      <c r="B29" s="331" t="str">
        <f>'5a-OpExYear1'!B12</f>
        <v>Closer Commissions (1% of contract value)</v>
      </c>
      <c r="C29" s="343">
        <f>'5a-OpExYear1'!C12</f>
        <v>3240</v>
      </c>
      <c r="D29" s="343">
        <f>'5a-OpExYear1'!D12</f>
        <v>3240</v>
      </c>
      <c r="E29" s="343">
        <f>'5a-OpExYear1'!E12</f>
        <v>3240</v>
      </c>
      <c r="F29" s="343">
        <f>'5a-OpExYear1'!F12</f>
        <v>6300</v>
      </c>
      <c r="G29" s="343">
        <f>'5a-OpExYear1'!G12</f>
        <v>6300</v>
      </c>
      <c r="H29" s="343">
        <f>'5a-OpExYear1'!H12</f>
        <v>6300</v>
      </c>
      <c r="I29" s="343">
        <f>'5a-OpExYear1'!I12</f>
        <v>9540</v>
      </c>
      <c r="J29" s="343">
        <f>'5a-OpExYear1'!J12</f>
        <v>9540</v>
      </c>
      <c r="K29" s="343">
        <f>'5a-OpExYear1'!K12</f>
        <v>12600</v>
      </c>
      <c r="L29" s="343">
        <f>'5a-OpExYear1'!L12</f>
        <v>12600</v>
      </c>
      <c r="M29" s="343">
        <f>'5a-OpExYear1'!M12</f>
        <v>15840</v>
      </c>
      <c r="N29" s="343">
        <f>'5a-OpExYear1'!N12</f>
        <v>19080</v>
      </c>
      <c r="O29" s="135">
        <f t="shared" si="0"/>
        <v>107820</v>
      </c>
    </row>
    <row r="30" ht="12" customHeight="1">
      <c r="B30" s="331" t="str">
        <f>'5a-OpExYear1'!B13</f>
        <v>Contract Labor (Not included in payroll)</v>
      </c>
      <c r="C30" s="343">
        <f>'5a-OpExYear1'!C13</f>
        <v>0</v>
      </c>
      <c r="D30" s="343">
        <f>'5a-OpExYear1'!D13</f>
        <v>0</v>
      </c>
      <c r="E30" s="343">
        <f>'5a-OpExYear1'!E13</f>
        <v>0</v>
      </c>
      <c r="F30" s="343">
        <f>'5a-OpExYear1'!F13</f>
        <v>0</v>
      </c>
      <c r="G30" s="343">
        <f>'5a-OpExYear1'!G13</f>
        <v>0</v>
      </c>
      <c r="H30" s="343">
        <f>'5a-OpExYear1'!H13</f>
        <v>0</v>
      </c>
      <c r="I30" s="343">
        <f>'5a-OpExYear1'!I13</f>
        <v>0</v>
      </c>
      <c r="J30" s="343">
        <f>'5a-OpExYear1'!J13</f>
        <v>0</v>
      </c>
      <c r="K30" s="343">
        <f>'5a-OpExYear1'!K13</f>
        <v>0</v>
      </c>
      <c r="L30" s="343">
        <f>'5a-OpExYear1'!L13</f>
        <v>0</v>
      </c>
      <c r="M30" s="343">
        <f>'5a-OpExYear1'!M13</f>
        <v>0</v>
      </c>
      <c r="N30" s="343">
        <f>'5a-OpExYear1'!N13</f>
        <v>0</v>
      </c>
      <c r="O30" s="135">
        <f t="shared" si="0"/>
        <v>0</v>
      </c>
    </row>
    <row r="31" ht="12" customHeight="1">
      <c r="B31" s="331" t="str">
        <f>'5a-OpExYear1'!B14</f>
        <v>Insurance (other than health)</v>
      </c>
      <c r="C31" s="343">
        <f>'5a-OpExYear1'!C14</f>
        <v>0</v>
      </c>
      <c r="D31" s="343">
        <f>'5a-OpExYear1'!D14</f>
        <v>0</v>
      </c>
      <c r="E31" s="343">
        <f>'5a-OpExYear1'!E14</f>
        <v>0</v>
      </c>
      <c r="F31" s="343">
        <f>'5a-OpExYear1'!F14</f>
        <v>0</v>
      </c>
      <c r="G31" s="343">
        <f>'5a-OpExYear1'!G14</f>
        <v>0</v>
      </c>
      <c r="H31" s="343">
        <f>'5a-OpExYear1'!H14</f>
        <v>0</v>
      </c>
      <c r="I31" s="343">
        <f>'5a-OpExYear1'!I14</f>
        <v>0</v>
      </c>
      <c r="J31" s="343">
        <f>'5a-OpExYear1'!J14</f>
        <v>0</v>
      </c>
      <c r="K31" s="343">
        <f>'5a-OpExYear1'!K14</f>
        <v>0</v>
      </c>
      <c r="L31" s="343">
        <f>'5a-OpExYear1'!L14</f>
        <v>0</v>
      </c>
      <c r="M31" s="343">
        <f>'5a-OpExYear1'!M14</f>
        <v>0</v>
      </c>
      <c r="N31" s="343">
        <f>'5a-OpExYear1'!N14</f>
        <v>0</v>
      </c>
      <c r="O31" s="135">
        <f t="shared" si="0"/>
        <v>0</v>
      </c>
    </row>
    <row r="32" ht="13.5" customHeight="1">
      <c r="B32" s="331" t="str">
        <f>'5a-OpExYear1'!B15</f>
        <v>Legal and Professional Services (Company Setup)</v>
      </c>
      <c r="C32" s="343">
        <f>'5a-OpExYear1'!C15</f>
        <v>2000</v>
      </c>
      <c r="D32" s="343">
        <f>'5a-OpExYear1'!D15</f>
        <v>0</v>
      </c>
      <c r="E32" s="343">
        <f>'5a-OpExYear1'!E15</f>
        <v>0</v>
      </c>
      <c r="F32" s="343">
        <f>'5a-OpExYear1'!F15</f>
        <v>0</v>
      </c>
      <c r="G32" s="343">
        <f>'5a-OpExYear1'!G15</f>
        <v>0</v>
      </c>
      <c r="H32" s="343">
        <f>'5a-OpExYear1'!H15</f>
        <v>0</v>
      </c>
      <c r="I32" s="343">
        <f>'5a-OpExYear1'!I15</f>
        <v>0</v>
      </c>
      <c r="J32" s="343">
        <f>'5a-OpExYear1'!J15</f>
        <v>0</v>
      </c>
      <c r="K32" s="343">
        <f>'5a-OpExYear1'!K15</f>
        <v>0</v>
      </c>
      <c r="L32" s="343">
        <f>'5a-OpExYear1'!L15</f>
        <v>0</v>
      </c>
      <c r="M32" s="343">
        <f>'5a-OpExYear1'!M15</f>
        <v>0</v>
      </c>
      <c r="N32" s="343">
        <f>'5a-OpExYear1'!N15</f>
        <v>0</v>
      </c>
      <c r="O32" s="135">
        <f t="shared" si="0"/>
        <v>2000</v>
      </c>
    </row>
    <row r="33" ht="12" customHeight="1">
      <c r="B33" s="331" t="str">
        <f>'5a-OpExYear1'!B16</f>
        <v>Licenses</v>
      </c>
      <c r="C33" s="343">
        <f>'5a-OpExYear1'!C16</f>
        <v>0</v>
      </c>
      <c r="D33" s="343">
        <f>'5a-OpExYear1'!D16</f>
        <v>0</v>
      </c>
      <c r="E33" s="343">
        <f>'5a-OpExYear1'!E16</f>
        <v>0</v>
      </c>
      <c r="F33" s="343">
        <f>'5a-OpExYear1'!F16</f>
        <v>0</v>
      </c>
      <c r="G33" s="343">
        <f>'5a-OpExYear1'!G16</f>
        <v>0</v>
      </c>
      <c r="H33" s="343">
        <f>'5a-OpExYear1'!H16</f>
        <v>0</v>
      </c>
      <c r="I33" s="343">
        <f>'5a-OpExYear1'!I16</f>
        <v>0</v>
      </c>
      <c r="J33" s="343">
        <f>'5a-OpExYear1'!J16</f>
        <v>0</v>
      </c>
      <c r="K33" s="343">
        <f>'5a-OpExYear1'!K16</f>
        <v>0</v>
      </c>
      <c r="L33" s="343">
        <f>'5a-OpExYear1'!L16</f>
        <v>0</v>
      </c>
      <c r="M33" s="343">
        <f>'5a-OpExYear1'!M16</f>
        <v>0</v>
      </c>
      <c r="N33" s="343">
        <f>'5a-OpExYear1'!N16</f>
        <v>0</v>
      </c>
      <c r="O33" s="135">
        <f t="shared" si="0"/>
        <v>0</v>
      </c>
    </row>
    <row r="34" ht="13.5" customHeight="1">
      <c r="B34" s="331" t="str">
        <f>'5a-OpExYear1'!B17</f>
        <v>Software &amp; Tools (CRM, dialing, calendaring)</v>
      </c>
      <c r="C34" s="343">
        <f>'5a-OpExYear1'!C17</f>
        <v>1000</v>
      </c>
      <c r="D34" s="343">
        <f>'5a-OpExYear1'!D17</f>
        <v>1000</v>
      </c>
      <c r="E34" s="343">
        <f>'5a-OpExYear1'!E17</f>
        <v>1000</v>
      </c>
      <c r="F34" s="343">
        <f>'5a-OpExYear1'!F17</f>
        <v>1000</v>
      </c>
      <c r="G34" s="343">
        <f>'5a-OpExYear1'!G17</f>
        <v>1000</v>
      </c>
      <c r="H34" s="343">
        <f>'5a-OpExYear1'!H17</f>
        <v>1000</v>
      </c>
      <c r="I34" s="343">
        <f>'5a-OpExYear1'!I17</f>
        <v>1000</v>
      </c>
      <c r="J34" s="343">
        <f>'5a-OpExYear1'!J17</f>
        <v>1000</v>
      </c>
      <c r="K34" s="343">
        <f>'5a-OpExYear1'!K17</f>
        <v>1000</v>
      </c>
      <c r="L34" s="343">
        <f>'5a-OpExYear1'!L17</f>
        <v>1000</v>
      </c>
      <c r="M34" s="343">
        <f>'5a-OpExYear1'!M17</f>
        <v>1000</v>
      </c>
      <c r="N34" s="343">
        <f>'5a-OpExYear1'!N17</f>
        <v>1000</v>
      </c>
      <c r="O34" s="135">
        <f t="shared" si="0"/>
        <v>12000</v>
      </c>
    </row>
    <row r="35" ht="12" customHeight="1">
      <c r="B35" s="331" t="str">
        <f>'5a-OpExYear1'!B18</f>
        <v>Rent or Lease -- Vehicles, Machinery, Equipment</v>
      </c>
      <c r="C35" s="343">
        <f>'5a-OpExYear1'!C18</f>
        <v>0</v>
      </c>
      <c r="D35" s="343">
        <f>'5a-OpExYear1'!D18</f>
        <v>0</v>
      </c>
      <c r="E35" s="343">
        <f>'5a-OpExYear1'!E18</f>
        <v>0</v>
      </c>
      <c r="F35" s="343">
        <f>'5a-OpExYear1'!F18</f>
        <v>0</v>
      </c>
      <c r="G35" s="343">
        <f>'5a-OpExYear1'!G18</f>
        <v>0</v>
      </c>
      <c r="H35" s="343">
        <f>'5a-OpExYear1'!H18</f>
        <v>0</v>
      </c>
      <c r="I35" s="343">
        <f>'5a-OpExYear1'!I18</f>
        <v>0</v>
      </c>
      <c r="J35" s="343">
        <f>'5a-OpExYear1'!J18</f>
        <v>0</v>
      </c>
      <c r="K35" s="343">
        <f>'5a-OpExYear1'!K18</f>
        <v>0</v>
      </c>
      <c r="L35" s="343">
        <f>'5a-OpExYear1'!L18</f>
        <v>0</v>
      </c>
      <c r="M35" s="343">
        <f>'5a-OpExYear1'!M18</f>
        <v>0</v>
      </c>
      <c r="N35" s="343">
        <f>'5a-OpExYear1'!N18</f>
        <v>0</v>
      </c>
      <c r="O35" s="135">
        <f t="shared" si="0"/>
        <v>0</v>
      </c>
    </row>
    <row r="36" ht="12" customHeight="1">
      <c r="B36" s="331" t="str">
        <f>'5a-OpExYear1'!B19</f>
        <v>Rent or Lease -- Other Business Property</v>
      </c>
      <c r="C36" s="343">
        <f>'5a-OpExYear1'!C19</f>
        <v>0</v>
      </c>
      <c r="D36" s="343">
        <f>'5a-OpExYear1'!D19</f>
        <v>0</v>
      </c>
      <c r="E36" s="343">
        <f>'5a-OpExYear1'!E19</f>
        <v>0</v>
      </c>
      <c r="F36" s="343">
        <f>'5a-OpExYear1'!F19</f>
        <v>0</v>
      </c>
      <c r="G36" s="343">
        <f>'5a-OpExYear1'!G19</f>
        <v>0</v>
      </c>
      <c r="H36" s="343">
        <f>'5a-OpExYear1'!H19</f>
        <v>0</v>
      </c>
      <c r="I36" s="343">
        <f>'5a-OpExYear1'!I19</f>
        <v>0</v>
      </c>
      <c r="J36" s="343">
        <f>'5a-OpExYear1'!J19</f>
        <v>0</v>
      </c>
      <c r="K36" s="343">
        <f>'5a-OpExYear1'!K19</f>
        <v>0</v>
      </c>
      <c r="L36" s="343">
        <f>'5a-OpExYear1'!L19</f>
        <v>0</v>
      </c>
      <c r="M36" s="343">
        <f>'5a-OpExYear1'!M19</f>
        <v>0</v>
      </c>
      <c r="N36" s="343">
        <f>'5a-OpExYear1'!N19</f>
        <v>0</v>
      </c>
      <c r="O36" s="135">
        <f t="shared" si="0"/>
        <v>0</v>
      </c>
    </row>
    <row r="37" ht="12" customHeight="1">
      <c r="B37" s="331" t="str">
        <f>'5a-OpExYear1'!B20</f>
        <v>Repairs and Maintenance</v>
      </c>
      <c r="C37" s="343">
        <f>'5a-OpExYear1'!C20</f>
        <v>0</v>
      </c>
      <c r="D37" s="343">
        <f>'5a-OpExYear1'!D20</f>
        <v>0</v>
      </c>
      <c r="E37" s="343">
        <f>'5a-OpExYear1'!E20</f>
        <v>0</v>
      </c>
      <c r="F37" s="343">
        <f>'5a-OpExYear1'!F20</f>
        <v>0</v>
      </c>
      <c r="G37" s="343">
        <f>'5a-OpExYear1'!G20</f>
        <v>0</v>
      </c>
      <c r="H37" s="343">
        <f>'5a-OpExYear1'!H20</f>
        <v>0</v>
      </c>
      <c r="I37" s="343">
        <f>'5a-OpExYear1'!I20</f>
        <v>0</v>
      </c>
      <c r="J37" s="343">
        <f>'5a-OpExYear1'!J20</f>
        <v>0</v>
      </c>
      <c r="K37" s="343">
        <f>'5a-OpExYear1'!K20</f>
        <v>0</v>
      </c>
      <c r="L37" s="343">
        <f>'5a-OpExYear1'!L20</f>
        <v>0</v>
      </c>
      <c r="M37" s="343">
        <f>'5a-OpExYear1'!M20</f>
        <v>0</v>
      </c>
      <c r="N37" s="343">
        <f>'5a-OpExYear1'!N20</f>
        <v>0</v>
      </c>
      <c r="O37" s="135">
        <f t="shared" si="0"/>
        <v>0</v>
      </c>
    </row>
    <row r="38" ht="12" customHeight="1">
      <c r="B38" s="331" t="str">
        <f>'5a-OpExYear1'!B21</f>
        <v>Supplies</v>
      </c>
      <c r="C38" s="343">
        <f>'5a-OpExYear1'!C21</f>
        <v>0</v>
      </c>
      <c r="D38" s="343">
        <f>'5a-OpExYear1'!D21</f>
        <v>0</v>
      </c>
      <c r="E38" s="343">
        <f>'5a-OpExYear1'!E21</f>
        <v>0</v>
      </c>
      <c r="F38" s="343">
        <f>'5a-OpExYear1'!F21</f>
        <v>0</v>
      </c>
      <c r="G38" s="343">
        <f>'5a-OpExYear1'!G21</f>
        <v>0</v>
      </c>
      <c r="H38" s="343">
        <f>'5a-OpExYear1'!H21</f>
        <v>0</v>
      </c>
      <c r="I38" s="343">
        <f>'5a-OpExYear1'!I21</f>
        <v>0</v>
      </c>
      <c r="J38" s="343">
        <f>'5a-OpExYear1'!J21</f>
        <v>0</v>
      </c>
      <c r="K38" s="343">
        <f>'5a-OpExYear1'!K21</f>
        <v>0</v>
      </c>
      <c r="L38" s="343">
        <f>'5a-OpExYear1'!L21</f>
        <v>0</v>
      </c>
      <c r="M38" s="343">
        <f>'5a-OpExYear1'!M21</f>
        <v>0</v>
      </c>
      <c r="N38" s="343">
        <f>'5a-OpExYear1'!N21</f>
        <v>0</v>
      </c>
      <c r="O38" s="135">
        <f t="shared" si="0"/>
        <v>0</v>
      </c>
    </row>
    <row r="39" ht="12" customHeight="1">
      <c r="B39" s="331" t="str">
        <f>'5a-OpExYear1'!B22</f>
        <v>Travel, Meals and Entertainment</v>
      </c>
      <c r="C39" s="343">
        <f>'5a-OpExYear1'!C22</f>
        <v>0</v>
      </c>
      <c r="D39" s="343">
        <f>'5a-OpExYear1'!D22</f>
        <v>0</v>
      </c>
      <c r="E39" s="343">
        <f>'5a-OpExYear1'!E22</f>
        <v>0</v>
      </c>
      <c r="F39" s="343">
        <f>'5a-OpExYear1'!F22</f>
        <v>0</v>
      </c>
      <c r="G39" s="343">
        <f>'5a-OpExYear1'!G22</f>
        <v>0</v>
      </c>
      <c r="H39" s="343">
        <f>'5a-OpExYear1'!H22</f>
        <v>0</v>
      </c>
      <c r="I39" s="343">
        <f>'5a-OpExYear1'!I22</f>
        <v>0</v>
      </c>
      <c r="J39" s="343">
        <f>'5a-OpExYear1'!J22</f>
        <v>0</v>
      </c>
      <c r="K39" s="343">
        <f>'5a-OpExYear1'!K22</f>
        <v>0</v>
      </c>
      <c r="L39" s="343">
        <f>'5a-OpExYear1'!L22</f>
        <v>0</v>
      </c>
      <c r="M39" s="343">
        <f>'5a-OpExYear1'!M22</f>
        <v>0</v>
      </c>
      <c r="N39" s="343">
        <f>'5a-OpExYear1'!N22</f>
        <v>0</v>
      </c>
      <c r="O39" s="135">
        <f t="shared" si="0"/>
        <v>0</v>
      </c>
    </row>
    <row r="40" ht="12" customHeight="1">
      <c r="B40" s="331" t="str">
        <f>'5a-OpExYear1'!B23</f>
        <v>Utilities</v>
      </c>
      <c r="C40" s="343">
        <f>'5a-OpExYear1'!C23</f>
        <v>0</v>
      </c>
      <c r="D40" s="343">
        <f>'5a-OpExYear1'!D23</f>
        <v>0</v>
      </c>
      <c r="E40" s="343">
        <f>'5a-OpExYear1'!E23</f>
        <v>0</v>
      </c>
      <c r="F40" s="343">
        <f>'5a-OpExYear1'!F23</f>
        <v>0</v>
      </c>
      <c r="G40" s="343">
        <f>'5a-OpExYear1'!G23</f>
        <v>0</v>
      </c>
      <c r="H40" s="343">
        <f>'5a-OpExYear1'!H23</f>
        <v>0</v>
      </c>
      <c r="I40" s="343">
        <f>'5a-OpExYear1'!I23</f>
        <v>0</v>
      </c>
      <c r="J40" s="343">
        <f>'5a-OpExYear1'!J23</f>
        <v>0</v>
      </c>
      <c r="K40" s="343">
        <f>'5a-OpExYear1'!K23</f>
        <v>0</v>
      </c>
      <c r="L40" s="343">
        <f>'5a-OpExYear1'!L23</f>
        <v>0</v>
      </c>
      <c r="M40" s="343">
        <f>'5a-OpExYear1'!M23</f>
        <v>0</v>
      </c>
      <c r="N40" s="343">
        <f>'5a-OpExYear1'!N23</f>
        <v>0</v>
      </c>
      <c r="O40" s="135">
        <f t="shared" si="0"/>
        <v>0</v>
      </c>
    </row>
    <row r="41" ht="12" customHeight="1">
      <c r="B41" s="331" t="str">
        <f>'5a-OpExYear1'!B24</f>
        <v>Miscellaneous </v>
      </c>
      <c r="C41" s="343">
        <f>'5a-OpExYear1'!C24</f>
        <v>0</v>
      </c>
      <c r="D41" s="343">
        <f>'5a-OpExYear1'!D24</f>
        <v>0</v>
      </c>
      <c r="E41" s="343">
        <f>'5a-OpExYear1'!E24</f>
        <v>0</v>
      </c>
      <c r="F41" s="343">
        <f>'5a-OpExYear1'!F24</f>
        <v>0</v>
      </c>
      <c r="G41" s="343">
        <f>'5a-OpExYear1'!G24</f>
        <v>0</v>
      </c>
      <c r="H41" s="343">
        <f>'5a-OpExYear1'!H24</f>
        <v>0</v>
      </c>
      <c r="I41" s="343">
        <f>'5a-OpExYear1'!I24</f>
        <v>0</v>
      </c>
      <c r="J41" s="343">
        <f>'5a-OpExYear1'!J24</f>
        <v>0</v>
      </c>
      <c r="K41" s="343">
        <f>'5a-OpExYear1'!K24</f>
        <v>0</v>
      </c>
      <c r="L41" s="343">
        <f>'5a-OpExYear1'!L24</f>
        <v>0</v>
      </c>
      <c r="M41" s="343">
        <f>'5a-OpExYear1'!M24</f>
        <v>0</v>
      </c>
      <c r="N41" s="343">
        <f>'5a-OpExYear1'!N24</f>
        <v>0</v>
      </c>
      <c r="O41" s="135">
        <f t="shared" si="0"/>
        <v>0</v>
      </c>
    </row>
    <row r="42" ht="12" customHeight="1">
      <c r="B42" s="346" t="s">
        <v>251</v>
      </c>
      <c r="C42" s="343"/>
      <c r="D42" s="343"/>
      <c r="E42" s="343"/>
      <c r="F42" s="343"/>
      <c r="G42" s="343"/>
      <c r="H42" s="343"/>
      <c r="I42" s="343"/>
      <c r="J42" s="343"/>
      <c r="K42" s="343"/>
      <c r="L42" s="343"/>
      <c r="M42" s="343"/>
      <c r="N42" s="343"/>
      <c r="O42" s="135"/>
    </row>
    <row r="43" ht="12" customHeight="1">
      <c r="B43" s="346" t="s">
        <v>252</v>
      </c>
      <c r="C43" s="343"/>
      <c r="D43" s="343"/>
      <c r="E43" s="343"/>
      <c r="F43" s="343"/>
      <c r="G43" s="343"/>
      <c r="H43" s="343"/>
      <c r="I43" s="343"/>
      <c r="J43" s="343"/>
      <c r="K43" s="343"/>
      <c r="L43" s="343"/>
      <c r="M43" s="343"/>
      <c r="N43" s="343"/>
      <c r="O43" s="135"/>
    </row>
    <row r="44" ht="13.5" customHeight="1">
      <c r="B44" s="334" t="s">
        <v>218</v>
      </c>
      <c r="C44" s="135">
        <f t="shared" si="3" ref="C44:N44">SUM(C27:C43)</f>
        <v>6240</v>
      </c>
      <c r="D44" s="135">
        <f t="shared" si="3"/>
        <v>4240</v>
      </c>
      <c r="E44" s="135">
        <f t="shared" si="3"/>
        <v>4240</v>
      </c>
      <c r="F44" s="135">
        <f t="shared" si="3"/>
        <v>7300</v>
      </c>
      <c r="G44" s="135">
        <f t="shared" si="3"/>
        <v>7300</v>
      </c>
      <c r="H44" s="135">
        <f t="shared" si="3"/>
        <v>7300</v>
      </c>
      <c r="I44" s="135">
        <f t="shared" si="3"/>
        <v>10540</v>
      </c>
      <c r="J44" s="135">
        <f t="shared" si="3"/>
        <v>10540</v>
      </c>
      <c r="K44" s="135">
        <f t="shared" si="3"/>
        <v>13600</v>
      </c>
      <c r="L44" s="135">
        <f t="shared" si="3"/>
        <v>13600</v>
      </c>
      <c r="M44" s="135">
        <f t="shared" si="3"/>
        <v>16840</v>
      </c>
      <c r="N44" s="135">
        <f t="shared" si="3"/>
        <v>20080</v>
      </c>
      <c r="O44" s="135">
        <f t="shared" si="0"/>
        <v>121820</v>
      </c>
    </row>
    <row r="45" ht="13.5" customHeight="1">
      <c r="B45" s="334" t="s">
        <v>253</v>
      </c>
      <c r="C45" s="135">
        <f>C24-C25-C44</f>
        <v>3780.375</v>
      </c>
      <c r="D45" s="135">
        <f t="shared" si="4" ref="D45:N45">+D24-D25-D44</f>
        <v>7724.375</v>
      </c>
      <c r="E45" s="135">
        <f t="shared" si="4"/>
        <v>7724.375</v>
      </c>
      <c r="F45" s="135">
        <f t="shared" si="4"/>
        <v>10920.875</v>
      </c>
      <c r="G45" s="135">
        <f t="shared" si="4"/>
        <v>11680.375</v>
      </c>
      <c r="H45" s="135">
        <f t="shared" si="4"/>
        <v>10603.875</v>
      </c>
      <c r="I45" s="135">
        <f t="shared" si="4"/>
        <v>17303.375</v>
      </c>
      <c r="J45" s="135">
        <f t="shared" si="4"/>
        <v>19247.375</v>
      </c>
      <c r="K45" s="135">
        <f t="shared" si="4"/>
        <v>24955.3495</v>
      </c>
      <c r="L45" s="135">
        <f t="shared" si="4"/>
        <v>27709.3495</v>
      </c>
      <c r="M45" s="135">
        <f t="shared" si="4"/>
        <v>34513.3495</v>
      </c>
      <c r="N45" s="135">
        <f t="shared" si="4"/>
        <v>43261.3495</v>
      </c>
      <c r="O45" s="135">
        <f t="shared" si="0"/>
        <v>219424.398</v>
      </c>
    </row>
    <row r="46" ht="12" customHeight="1">
      <c r="B46" s="329" t="s">
        <v>208</v>
      </c>
      <c r="C46" s="105"/>
      <c r="D46" s="105"/>
      <c r="E46" s="105"/>
      <c r="F46" s="105"/>
      <c r="G46" s="105"/>
      <c r="H46" s="105"/>
      <c r="I46" s="105"/>
      <c r="J46" s="105"/>
      <c r="K46" s="105"/>
      <c r="L46" s="105"/>
      <c r="M46" s="105"/>
      <c r="N46" s="105"/>
      <c r="O46" s="135"/>
    </row>
    <row r="47" ht="12" customHeight="1">
      <c r="B47" s="347" t="s">
        <v>254</v>
      </c>
      <c r="C47" s="343">
        <f>+'Amortization&amp;Depreciation'!C138+'Amortization&amp;Depreciation'!C149</f>
        <v>0</v>
      </c>
      <c r="D47" s="343">
        <f>+'Amortization&amp;Depreciation'!D138+'Amortization&amp;Depreciation'!D149</f>
        <v>0</v>
      </c>
      <c r="E47" s="343">
        <f>+'Amortization&amp;Depreciation'!E138+'Amortization&amp;Depreciation'!E149</f>
        <v>0</v>
      </c>
      <c r="F47" s="343">
        <f>+'Amortization&amp;Depreciation'!F138+'Amortization&amp;Depreciation'!F149</f>
        <v>0</v>
      </c>
      <c r="G47" s="343">
        <f>+'Amortization&amp;Depreciation'!G138+'Amortization&amp;Depreciation'!G149</f>
        <v>0</v>
      </c>
      <c r="H47" s="343">
        <f>+'Amortization&amp;Depreciation'!H138+'Amortization&amp;Depreciation'!H149</f>
        <v>0</v>
      </c>
      <c r="I47" s="343">
        <f>+'Amortization&amp;Depreciation'!I138+'Amortization&amp;Depreciation'!I149</f>
        <v>0</v>
      </c>
      <c r="J47" s="343">
        <f>+'Amortization&amp;Depreciation'!J138+'Amortization&amp;Depreciation'!J149</f>
        <v>0</v>
      </c>
      <c r="K47" s="343">
        <f>+'Amortization&amp;Depreciation'!K138+'Amortization&amp;Depreciation'!K149</f>
        <v>0</v>
      </c>
      <c r="L47" s="343">
        <f>+'Amortization&amp;Depreciation'!L138+'Amortization&amp;Depreciation'!L149</f>
        <v>0</v>
      </c>
      <c r="M47" s="343">
        <f>+'Amortization&amp;Depreciation'!M138+'Amortization&amp;Depreciation'!M149</f>
        <v>0</v>
      </c>
      <c r="N47" s="343">
        <f>+'Amortization&amp;Depreciation'!N138+'Amortization&amp;Depreciation'!N149</f>
        <v>0</v>
      </c>
      <c r="O47" s="135">
        <f t="shared" si="0"/>
        <v>0</v>
      </c>
    </row>
    <row r="48" ht="12" customHeight="1">
      <c r="B48" s="347" t="s">
        <v>255</v>
      </c>
      <c r="C48" s="343">
        <f>'Amortization&amp;Depreciation'!C119</f>
        <v>0</v>
      </c>
      <c r="D48" s="343">
        <f>+'Amortization&amp;Depreciation'!D119</f>
        <v>0</v>
      </c>
      <c r="E48" s="343">
        <f>+'Amortization&amp;Depreciation'!E119</f>
        <v>0</v>
      </c>
      <c r="F48" s="343">
        <f>+'Amortization&amp;Depreciation'!F119</f>
        <v>0</v>
      </c>
      <c r="G48" s="343">
        <f>+'Amortization&amp;Depreciation'!G119</f>
        <v>0</v>
      </c>
      <c r="H48" s="343">
        <f>+'Amortization&amp;Depreciation'!H119</f>
        <v>0</v>
      </c>
      <c r="I48" s="343">
        <f>+'Amortization&amp;Depreciation'!I119</f>
        <v>0</v>
      </c>
      <c r="J48" s="343">
        <f>+'Amortization&amp;Depreciation'!J119</f>
        <v>0</v>
      </c>
      <c r="K48" s="343">
        <f>+'Amortization&amp;Depreciation'!K119</f>
        <v>0</v>
      </c>
      <c r="L48" s="343">
        <f>+'Amortization&amp;Depreciation'!L119</f>
        <v>0</v>
      </c>
      <c r="M48" s="343">
        <f>+'Amortization&amp;Depreciation'!M119</f>
        <v>0</v>
      </c>
      <c r="N48" s="343">
        <f>+'Amortization&amp;Depreciation'!N119</f>
        <v>0</v>
      </c>
      <c r="O48" s="135">
        <f t="shared" si="0"/>
        <v>0</v>
      </c>
    </row>
    <row r="49" ht="12" customHeight="1">
      <c r="B49" s="347" t="s">
        <v>210</v>
      </c>
      <c r="C49" s="105"/>
      <c r="D49" s="105"/>
      <c r="E49" s="105"/>
      <c r="F49" s="105"/>
      <c r="G49" s="105"/>
      <c r="H49" s="105"/>
      <c r="I49" s="105"/>
      <c r="J49" s="105"/>
      <c r="K49" s="105"/>
      <c r="L49" s="105"/>
      <c r="M49" s="105"/>
      <c r="N49" s="105"/>
      <c r="O49" s="135"/>
    </row>
    <row r="50" ht="12" customHeight="1">
      <c r="B50" s="348" t="s">
        <v>59</v>
      </c>
      <c r="C50" s="343">
        <f>+'Amortization&amp;Depreciation'!C15</f>
        <v>0</v>
      </c>
      <c r="D50" s="343">
        <f>+'Amortization&amp;Depreciation'!D15</f>
        <v>0</v>
      </c>
      <c r="E50" s="343">
        <f>+'Amortization&amp;Depreciation'!E15</f>
        <v>0</v>
      </c>
      <c r="F50" s="343">
        <f>+'Amortization&amp;Depreciation'!F15</f>
        <v>0</v>
      </c>
      <c r="G50" s="343">
        <f>+'Amortization&amp;Depreciation'!G15</f>
        <v>0</v>
      </c>
      <c r="H50" s="343">
        <f>+'Amortization&amp;Depreciation'!H15</f>
        <v>0</v>
      </c>
      <c r="I50" s="343">
        <f>+'Amortization&amp;Depreciation'!I15</f>
        <v>0</v>
      </c>
      <c r="J50" s="343">
        <f>+'Amortization&amp;Depreciation'!J15</f>
        <v>0</v>
      </c>
      <c r="K50" s="343">
        <f>+'Amortization&amp;Depreciation'!K15</f>
        <v>0</v>
      </c>
      <c r="L50" s="343">
        <f>+'Amortization&amp;Depreciation'!L15</f>
        <v>0</v>
      </c>
      <c r="M50" s="343">
        <f>+'Amortization&amp;Depreciation'!M15</f>
        <v>0</v>
      </c>
      <c r="N50" s="343">
        <f>+'Amortization&amp;Depreciation'!N15</f>
        <v>0</v>
      </c>
      <c r="O50" s="135">
        <f t="shared" si="0"/>
        <v>0</v>
      </c>
    </row>
    <row r="51" ht="12" customHeight="1">
      <c r="B51" s="348" t="s">
        <v>60</v>
      </c>
      <c r="C51" s="343">
        <f>+'Amortization&amp;Depreciation'!C35</f>
        <v>0</v>
      </c>
      <c r="D51" s="343">
        <f>+'Amortization&amp;Depreciation'!D35</f>
        <v>0</v>
      </c>
      <c r="E51" s="343">
        <f>+'Amortization&amp;Depreciation'!E35</f>
        <v>0</v>
      </c>
      <c r="F51" s="343">
        <f>+'Amortization&amp;Depreciation'!F35</f>
        <v>0</v>
      </c>
      <c r="G51" s="343">
        <f>+'Amortization&amp;Depreciation'!G35</f>
        <v>0</v>
      </c>
      <c r="H51" s="343">
        <f>+'Amortization&amp;Depreciation'!H35</f>
        <v>0</v>
      </c>
      <c r="I51" s="343">
        <f>+'Amortization&amp;Depreciation'!I35</f>
        <v>0</v>
      </c>
      <c r="J51" s="343">
        <f>+'Amortization&amp;Depreciation'!J35</f>
        <v>0</v>
      </c>
      <c r="K51" s="343">
        <f>+'Amortization&amp;Depreciation'!K35</f>
        <v>0</v>
      </c>
      <c r="L51" s="343">
        <f>+'Amortization&amp;Depreciation'!L35</f>
        <v>0</v>
      </c>
      <c r="M51" s="343">
        <f>+'Amortization&amp;Depreciation'!M35</f>
        <v>0</v>
      </c>
      <c r="N51" s="343">
        <f>+'Amortization&amp;Depreciation'!N35</f>
        <v>0</v>
      </c>
      <c r="O51" s="135">
        <f t="shared" si="0"/>
        <v>0</v>
      </c>
    </row>
    <row r="52" ht="12" customHeight="1">
      <c r="B52" s="348" t="s">
        <v>62</v>
      </c>
      <c r="C52" s="343">
        <f>+'Amortization&amp;Depreciation'!C55</f>
        <v>0</v>
      </c>
      <c r="D52" s="343">
        <f>+'Amortization&amp;Depreciation'!D55</f>
        <v>0</v>
      </c>
      <c r="E52" s="343">
        <f>+'Amortization&amp;Depreciation'!E55</f>
        <v>0</v>
      </c>
      <c r="F52" s="343">
        <f>+'Amortization&amp;Depreciation'!F55</f>
        <v>0</v>
      </c>
      <c r="G52" s="343">
        <f>+'Amortization&amp;Depreciation'!G55</f>
        <v>0</v>
      </c>
      <c r="H52" s="343">
        <f>+'Amortization&amp;Depreciation'!H55</f>
        <v>0</v>
      </c>
      <c r="I52" s="343">
        <f>+'Amortization&amp;Depreciation'!I55</f>
        <v>0</v>
      </c>
      <c r="J52" s="343">
        <f>+'Amortization&amp;Depreciation'!J55</f>
        <v>0</v>
      </c>
      <c r="K52" s="343">
        <f>+'Amortization&amp;Depreciation'!K55</f>
        <v>0</v>
      </c>
      <c r="L52" s="343">
        <f>+'Amortization&amp;Depreciation'!L55</f>
        <v>0</v>
      </c>
      <c r="M52" s="343">
        <f>+'Amortization&amp;Depreciation'!M55</f>
        <v>0</v>
      </c>
      <c r="N52" s="343">
        <f>+'Amortization&amp;Depreciation'!N55</f>
        <v>0</v>
      </c>
      <c r="O52" s="135">
        <f t="shared" si="0"/>
        <v>0</v>
      </c>
    </row>
    <row r="53" ht="12" customHeight="1">
      <c r="B53" s="348" t="s">
        <v>63</v>
      </c>
      <c r="C53" s="343">
        <f>+'Amortization&amp;Depreciation'!C75</f>
        <v>0</v>
      </c>
      <c r="D53" s="343">
        <f>+'Amortization&amp;Depreciation'!D75</f>
        <v>0</v>
      </c>
      <c r="E53" s="343">
        <f>+'Amortization&amp;Depreciation'!E75</f>
        <v>0</v>
      </c>
      <c r="F53" s="343">
        <f>+'Amortization&amp;Depreciation'!F75</f>
        <v>0</v>
      </c>
      <c r="G53" s="343">
        <f>+'Amortization&amp;Depreciation'!G75</f>
        <v>0</v>
      </c>
      <c r="H53" s="343">
        <f>+'Amortization&amp;Depreciation'!H75</f>
        <v>0</v>
      </c>
      <c r="I53" s="343">
        <f>+'Amortization&amp;Depreciation'!I75</f>
        <v>0</v>
      </c>
      <c r="J53" s="343">
        <f>+'Amortization&amp;Depreciation'!J75</f>
        <v>0</v>
      </c>
      <c r="K53" s="343">
        <f>+'Amortization&amp;Depreciation'!K75</f>
        <v>0</v>
      </c>
      <c r="L53" s="343">
        <f>+'Amortization&amp;Depreciation'!L75</f>
        <v>0</v>
      </c>
      <c r="M53" s="343">
        <f>+'Amortization&amp;Depreciation'!M75</f>
        <v>0</v>
      </c>
      <c r="N53" s="343">
        <f>+'Amortization&amp;Depreciation'!N75</f>
        <v>0</v>
      </c>
      <c r="O53" s="135">
        <f t="shared" si="0"/>
        <v>0</v>
      </c>
    </row>
    <row r="54" ht="12" customHeight="1">
      <c r="B54" s="348" t="s">
        <v>64</v>
      </c>
      <c r="C54" s="343">
        <f>+'Amortization&amp;Depreciation'!C95</f>
        <v>0</v>
      </c>
      <c r="D54" s="343">
        <f>+'Amortization&amp;Depreciation'!D95</f>
        <v>0</v>
      </c>
      <c r="E54" s="343">
        <f>+'Amortization&amp;Depreciation'!E95</f>
        <v>0</v>
      </c>
      <c r="F54" s="343">
        <f>+'Amortization&amp;Depreciation'!F95</f>
        <v>0</v>
      </c>
      <c r="G54" s="343">
        <f>+'Amortization&amp;Depreciation'!G95</f>
        <v>0</v>
      </c>
      <c r="H54" s="343">
        <f>+'Amortization&amp;Depreciation'!H95</f>
        <v>0</v>
      </c>
      <c r="I54" s="343">
        <f>+'Amortization&amp;Depreciation'!I95</f>
        <v>0</v>
      </c>
      <c r="J54" s="343">
        <f>+'Amortization&amp;Depreciation'!J95</f>
        <v>0</v>
      </c>
      <c r="K54" s="343">
        <f>+'Amortization&amp;Depreciation'!K95</f>
        <v>0</v>
      </c>
      <c r="L54" s="343">
        <f>+'Amortization&amp;Depreciation'!L95</f>
        <v>0</v>
      </c>
      <c r="M54" s="343">
        <f>+'Amortization&amp;Depreciation'!M95</f>
        <v>0</v>
      </c>
      <c r="N54" s="343">
        <f>+'Amortization&amp;Depreciation'!N95</f>
        <v>0</v>
      </c>
      <c r="O54" s="135">
        <f t="shared" si="0"/>
        <v>0</v>
      </c>
    </row>
    <row r="55" ht="12" customHeight="1">
      <c r="B55" s="348" t="s">
        <v>256</v>
      </c>
      <c r="C55" s="343">
        <f>'6a-CashFlowYear1'!C26</f>
        <v>0</v>
      </c>
      <c r="D55" s="343">
        <f>+'6a-CashFlowYear1'!D26</f>
        <v>0</v>
      </c>
      <c r="E55" s="343">
        <f>+'6a-CashFlowYear1'!E26</f>
        <v>0</v>
      </c>
      <c r="F55" s="343">
        <f>+'6a-CashFlowYear1'!F26</f>
        <v>0</v>
      </c>
      <c r="G55" s="343">
        <f>+'6a-CashFlowYear1'!G26</f>
        <v>0</v>
      </c>
      <c r="H55" s="343">
        <f>+'6a-CashFlowYear1'!H26</f>
        <v>0</v>
      </c>
      <c r="I55" s="343">
        <f>+'6a-CashFlowYear1'!I26</f>
        <v>0</v>
      </c>
      <c r="J55" s="343">
        <f>+'6a-CashFlowYear1'!J26</f>
        <v>0</v>
      </c>
      <c r="K55" s="343">
        <f>+'6a-CashFlowYear1'!K26</f>
        <v>0</v>
      </c>
      <c r="L55" s="343">
        <f>+'6a-CashFlowYear1'!L26</f>
        <v>0</v>
      </c>
      <c r="M55" s="343">
        <f>+'6a-CashFlowYear1'!M26</f>
        <v>0</v>
      </c>
      <c r="N55" s="343">
        <f>+'6a-CashFlowYear1'!N26</f>
        <v>0</v>
      </c>
      <c r="O55" s="135">
        <f t="shared" si="0"/>
        <v>0</v>
      </c>
    </row>
    <row r="56" ht="12" customHeight="1">
      <c r="B56" s="347" t="s">
        <v>212</v>
      </c>
      <c r="C56" s="343">
        <f>+'3a-SalesForecastYear1'!C53*'4-AdditionalInputs'!$C$12</f>
        <v>0</v>
      </c>
      <c r="D56" s="343">
        <f>+'3a-SalesForecastYear1'!D53*'4-AdditionalInputs'!$C$12</f>
        <v>0</v>
      </c>
      <c r="E56" s="343">
        <f>+'3a-SalesForecastYear1'!E53*'4-AdditionalInputs'!$C$12</f>
        <v>0</v>
      </c>
      <c r="F56" s="343">
        <f>+'3a-SalesForecastYear1'!F53*'4-AdditionalInputs'!$C$12</f>
        <v>0</v>
      </c>
      <c r="G56" s="343">
        <f>+'3a-SalesForecastYear1'!G53*'4-AdditionalInputs'!$C$12</f>
        <v>0</v>
      </c>
      <c r="H56" s="343">
        <f>+'3a-SalesForecastYear1'!H53*'4-AdditionalInputs'!$C$12</f>
        <v>0</v>
      </c>
      <c r="I56" s="343">
        <f>+'3a-SalesForecastYear1'!I53*'4-AdditionalInputs'!$C$12</f>
        <v>0</v>
      </c>
      <c r="J56" s="343">
        <f>+'3a-SalesForecastYear1'!J53*'4-AdditionalInputs'!$C$12</f>
        <v>0</v>
      </c>
      <c r="K56" s="343">
        <f>+'3a-SalesForecastYear1'!K53*'4-AdditionalInputs'!$C$12</f>
        <v>0</v>
      </c>
      <c r="L56" s="343">
        <f>+'3a-SalesForecastYear1'!L53*'4-AdditionalInputs'!$C$12</f>
        <v>0</v>
      </c>
      <c r="M56" s="343">
        <f>+'3a-SalesForecastYear1'!M53*'4-AdditionalInputs'!$C$12</f>
        <v>0</v>
      </c>
      <c r="N56" s="343">
        <f>+'3a-SalesForecastYear1'!N53*'4-AdditionalInputs'!$C$12</f>
        <v>0</v>
      </c>
      <c r="O56" s="135">
        <f t="shared" si="0"/>
        <v>0</v>
      </c>
    </row>
    <row r="57" ht="12" customHeight="1">
      <c r="B57" s="334" t="s">
        <v>213</v>
      </c>
      <c r="C57" s="343">
        <f t="shared" si="5" ref="C57:N57">SUM(C47:C56)</f>
        <v>0</v>
      </c>
      <c r="D57" s="343">
        <f t="shared" si="5"/>
        <v>0</v>
      </c>
      <c r="E57" s="343">
        <f t="shared" si="5"/>
        <v>0</v>
      </c>
      <c r="F57" s="343">
        <f t="shared" si="5"/>
        <v>0</v>
      </c>
      <c r="G57" s="343">
        <f t="shared" si="5"/>
        <v>0</v>
      </c>
      <c r="H57" s="343">
        <f t="shared" si="5"/>
        <v>0</v>
      </c>
      <c r="I57" s="343">
        <f t="shared" si="5"/>
        <v>0</v>
      </c>
      <c r="J57" s="343">
        <f t="shared" si="5"/>
        <v>0</v>
      </c>
      <c r="K57" s="343">
        <f t="shared" si="5"/>
        <v>0</v>
      </c>
      <c r="L57" s="343">
        <f t="shared" si="5"/>
        <v>0</v>
      </c>
      <c r="M57" s="343">
        <f t="shared" si="5"/>
        <v>0</v>
      </c>
      <c r="N57" s="343">
        <f t="shared" si="5"/>
        <v>0</v>
      </c>
      <c r="O57" s="135">
        <f t="shared" si="0"/>
        <v>0</v>
      </c>
    </row>
    <row r="58" ht="13.5" customHeight="1">
      <c r="B58" s="329" t="s">
        <v>257</v>
      </c>
      <c r="C58" s="135">
        <f t="shared" si="6" ref="C58:N58">C24-C25-C44-C57</f>
        <v>3780.375</v>
      </c>
      <c r="D58" s="135">
        <f t="shared" si="6"/>
        <v>7724.375</v>
      </c>
      <c r="E58" s="135">
        <f t="shared" si="6"/>
        <v>7724.375</v>
      </c>
      <c r="F58" s="135">
        <f t="shared" si="6"/>
        <v>10920.875</v>
      </c>
      <c r="G58" s="135">
        <f t="shared" si="6"/>
        <v>11680.375</v>
      </c>
      <c r="H58" s="135">
        <f t="shared" si="6"/>
        <v>10603.875</v>
      </c>
      <c r="I58" s="135">
        <f t="shared" si="6"/>
        <v>17303.375</v>
      </c>
      <c r="J58" s="135">
        <f t="shared" si="6"/>
        <v>19247.375</v>
      </c>
      <c r="K58" s="135">
        <f t="shared" si="6"/>
        <v>24955.3495</v>
      </c>
      <c r="L58" s="135">
        <f t="shared" si="6"/>
        <v>27709.3495</v>
      </c>
      <c r="M58" s="135">
        <f t="shared" si="6"/>
        <v>34513.3495</v>
      </c>
      <c r="N58" s="135">
        <f t="shared" si="6"/>
        <v>43261.3495</v>
      </c>
      <c r="O58" s="135">
        <f t="shared" si="0"/>
        <v>219424.398</v>
      </c>
    </row>
    <row r="59" ht="12" customHeight="1">
      <c r="B59" s="114" t="s">
        <v>258</v>
      </c>
      <c r="C59" s="109">
        <f>IF(C65&gt;0,C64*'4-AdditionalInputs'!$C$39,0)</f>
        <v>0</v>
      </c>
      <c r="D59" s="109">
        <f>+IF(D65&gt;0,IF(C65&lt;0,(D64-ABS(C65))*'4-AdditionalInputs'!$C$39,'7a-IncomeStatementYear1'!D64*'4-AdditionalInputs'!$C$39),IF('7a-IncomeStatementYear1'!C65&gt;0,-'7a-IncomeStatementYear1'!C65*'4-AdditionalInputs'!$C$39,0))</f>
        <v>0</v>
      </c>
      <c r="E59" s="109">
        <f>+IF(E65&gt;0,IF(D65&lt;0,(E64-ABS(D65))*'4-AdditionalInputs'!$C$39,'7a-IncomeStatementYear1'!E64*'4-AdditionalInputs'!$C$39),IF('7a-IncomeStatementYear1'!D65&gt;0,-'7a-IncomeStatementYear1'!D65*'4-AdditionalInputs'!$C$39,0))</f>
        <v>0</v>
      </c>
      <c r="F59" s="109">
        <f>+IF(F65&gt;0,IF(E65&lt;0,(F64-ABS(E65))*'4-AdditionalInputs'!$C$39,'7a-IncomeStatementYear1'!F64*'4-AdditionalInputs'!$C$39),IF('7a-IncomeStatementYear1'!E65&gt;0,-'7a-IncomeStatementYear1'!E65*'4-AdditionalInputs'!$C$39,0))</f>
        <v>0</v>
      </c>
      <c r="G59" s="109">
        <f>+IF(G65&gt;0,IF(F65&lt;0,(G64-ABS(F65))*'4-AdditionalInputs'!$C$39,'7a-IncomeStatementYear1'!G64*'4-AdditionalInputs'!$C$39),IF('7a-IncomeStatementYear1'!F65&gt;0,-'7a-IncomeStatementYear1'!F65*'4-AdditionalInputs'!$C$39,0))</f>
        <v>0</v>
      </c>
      <c r="H59" s="109">
        <f>+IF(H65&gt;0,IF(G65&lt;0,(H64-ABS(G65))*'4-AdditionalInputs'!$C$39,'7a-IncomeStatementYear1'!H64*'4-AdditionalInputs'!$C$39),IF('7a-IncomeStatementYear1'!G65&gt;0,-'7a-IncomeStatementYear1'!G65*'4-AdditionalInputs'!$C$39,0))</f>
        <v>0</v>
      </c>
      <c r="I59" s="109">
        <f>+IF(I65&gt;0,IF(H65&lt;0,(I64-ABS(H65))*'4-AdditionalInputs'!$C$39,'7a-IncomeStatementYear1'!I64*'4-AdditionalInputs'!$C$39),IF('7a-IncomeStatementYear1'!H65&gt;0,-'7a-IncomeStatementYear1'!H65*'4-AdditionalInputs'!$C$39,0))</f>
        <v>0</v>
      </c>
      <c r="J59" s="109">
        <f>+IF(J65&gt;0,IF(I65&lt;0,(J64-ABS(I65))*'4-AdditionalInputs'!$C$39,'7a-IncomeStatementYear1'!J64*'4-AdditionalInputs'!$C$39),IF('7a-IncomeStatementYear1'!I65&gt;0,-'7a-IncomeStatementYear1'!I65*'4-AdditionalInputs'!$C$39,0))</f>
        <v>0</v>
      </c>
      <c r="K59" s="109">
        <f>+IF(K65&gt;0,IF(J65&lt;0,(K64-ABS(J65))*'4-AdditionalInputs'!$C$39,'7a-IncomeStatementYear1'!K64*'4-AdditionalInputs'!$C$39),IF('7a-IncomeStatementYear1'!J65&gt;0,-'7a-IncomeStatementYear1'!J65*'4-AdditionalInputs'!$C$39,0))</f>
        <v>0</v>
      </c>
      <c r="L59" s="109">
        <f>+IF(L65&gt;0,IF(K65&lt;0,(L64-ABS(K65))*'4-AdditionalInputs'!$C$39,'7a-IncomeStatementYear1'!L64*'4-AdditionalInputs'!$C$39),IF('7a-IncomeStatementYear1'!K65&gt;0,-'7a-IncomeStatementYear1'!K65*'4-AdditionalInputs'!$C$39,0))</f>
        <v>0</v>
      </c>
      <c r="M59" s="109">
        <f>+IF(M65&gt;0,IF(L65&lt;0,(M64-ABS(L65))*'4-AdditionalInputs'!$C$39,'7a-IncomeStatementYear1'!M64*'4-AdditionalInputs'!$C$39),IF('7a-IncomeStatementYear1'!L65&gt;0,-'7a-IncomeStatementYear1'!L65*'4-AdditionalInputs'!$C$39,0))</f>
        <v>0</v>
      </c>
      <c r="N59" s="109">
        <f>+IF(N65&gt;0,IF(M65&lt;0,(N64-ABS(M65))*'4-AdditionalInputs'!$C$39,'7a-IncomeStatementYear1'!N64*'4-AdditionalInputs'!$C$39),IF('7a-IncomeStatementYear1'!M65&gt;0,-'7a-IncomeStatementYear1'!M65*'4-AdditionalInputs'!$C$39,0))</f>
        <v>0</v>
      </c>
      <c r="O59" s="135">
        <f t="shared" si="0"/>
        <v>0</v>
      </c>
    </row>
    <row r="60" ht="13.5" customHeight="1">
      <c r="B60" s="114" t="s">
        <v>259</v>
      </c>
      <c r="C60" s="135">
        <f t="shared" si="7" ref="C60:N60">C58-C59</f>
        <v>3780.375</v>
      </c>
      <c r="D60" s="135">
        <f t="shared" si="7"/>
        <v>7724.375</v>
      </c>
      <c r="E60" s="135">
        <f t="shared" si="7"/>
        <v>7724.375</v>
      </c>
      <c r="F60" s="135">
        <f t="shared" si="7"/>
        <v>10920.875</v>
      </c>
      <c r="G60" s="135">
        <f t="shared" si="7"/>
        <v>11680.375</v>
      </c>
      <c r="H60" s="135">
        <f t="shared" si="7"/>
        <v>10603.875</v>
      </c>
      <c r="I60" s="135">
        <f t="shared" si="7"/>
        <v>17303.375</v>
      </c>
      <c r="J60" s="135">
        <f t="shared" si="7"/>
        <v>19247.375</v>
      </c>
      <c r="K60" s="135">
        <f t="shared" si="7"/>
        <v>24955.3495</v>
      </c>
      <c r="L60" s="135">
        <f t="shared" si="7"/>
        <v>27709.3495</v>
      </c>
      <c r="M60" s="135">
        <f t="shared" si="7"/>
        <v>34513.3495</v>
      </c>
      <c r="N60" s="135">
        <f t="shared" si="7"/>
        <v>43261.3495</v>
      </c>
      <c r="O60" s="135">
        <f t="shared" si="0"/>
        <v>219424.398</v>
      </c>
    </row>
    <row r="63" ht="12" customHeight="1">
      <c r="A63" s="349"/>
      <c r="B63" s="350" t="s">
        <v>260</v>
      </c>
      <c r="C63" s="351"/>
      <c r="D63" s="351"/>
      <c r="E63" s="351"/>
      <c r="F63" s="351"/>
      <c r="G63" s="351"/>
      <c r="H63" s="351"/>
      <c r="I63" s="351"/>
      <c r="J63" s="351"/>
      <c r="K63" s="351"/>
      <c r="L63" s="351"/>
      <c r="M63" s="351"/>
      <c r="N63" s="351"/>
      <c r="O63" s="349"/>
    </row>
    <row r="64" ht="13.5" customHeight="1">
      <c r="A64" s="349"/>
      <c r="B64" s="351" t="s">
        <v>261</v>
      </c>
      <c r="C64" s="352">
        <f t="shared" si="8" ref="C64:N64">C45-C48-C50-C51-C52-C53-C54-C55-C56</f>
        <v>3780.375</v>
      </c>
      <c r="D64" s="352">
        <f t="shared" si="8"/>
        <v>7724.375</v>
      </c>
      <c r="E64" s="352">
        <f t="shared" si="8"/>
        <v>7724.375</v>
      </c>
      <c r="F64" s="352">
        <f t="shared" si="8"/>
        <v>10920.875</v>
      </c>
      <c r="G64" s="352">
        <f t="shared" si="8"/>
        <v>11680.375</v>
      </c>
      <c r="H64" s="352">
        <f t="shared" si="8"/>
        <v>10603.875</v>
      </c>
      <c r="I64" s="352">
        <f t="shared" si="8"/>
        <v>17303.375</v>
      </c>
      <c r="J64" s="352">
        <f t="shared" si="8"/>
        <v>19247.375</v>
      </c>
      <c r="K64" s="352">
        <f t="shared" si="8"/>
        <v>24955.3495</v>
      </c>
      <c r="L64" s="352">
        <f t="shared" si="8"/>
        <v>27709.3495</v>
      </c>
      <c r="M64" s="352">
        <f t="shared" si="8"/>
        <v>34513.3495</v>
      </c>
      <c r="N64" s="352">
        <f t="shared" si="8"/>
        <v>43261.3495</v>
      </c>
      <c r="O64" s="349"/>
    </row>
    <row r="65" ht="13.5" customHeight="1">
      <c r="A65" s="349"/>
      <c r="B65" s="351" t="s">
        <v>262</v>
      </c>
      <c r="C65" s="352">
        <f>C64</f>
        <v>3780.375</v>
      </c>
      <c r="D65" s="352">
        <f t="shared" si="9" ref="D65:G65">C65+D64</f>
        <v>11504.75</v>
      </c>
      <c r="E65" s="352">
        <f t="shared" si="9"/>
        <v>19229.125</v>
      </c>
      <c r="F65" s="352">
        <f t="shared" si="9"/>
        <v>30150</v>
      </c>
      <c r="G65" s="352">
        <f t="shared" si="9"/>
        <v>41830.375</v>
      </c>
      <c r="H65" s="352">
        <f t="shared" si="10" ref="H65:N65">+G65+H64</f>
        <v>52434.25</v>
      </c>
      <c r="I65" s="352">
        <f t="shared" si="10"/>
        <v>69737.625</v>
      </c>
      <c r="J65" s="352">
        <f t="shared" si="10"/>
        <v>88985</v>
      </c>
      <c r="K65" s="352">
        <f t="shared" si="10"/>
        <v>113940.3495</v>
      </c>
      <c r="L65" s="352">
        <f t="shared" si="10"/>
        <v>141649.699</v>
      </c>
      <c r="M65" s="352">
        <f t="shared" si="10"/>
        <v>176163.0485</v>
      </c>
      <c r="N65" s="352">
        <f t="shared" si="10"/>
        <v>219424.398</v>
      </c>
      <c r="O65" s="349"/>
    </row>
    <row r="66" ht="12" customHeight="1">
      <c r="A66" s="349"/>
      <c r="B66" s="349"/>
      <c r="C66" s="349"/>
      <c r="D66" s="349"/>
      <c r="E66" s="349"/>
      <c r="F66" s="349"/>
      <c r="G66" s="349"/>
      <c r="H66" s="349"/>
      <c r="I66" s="349"/>
      <c r="J66" s="349"/>
      <c r="K66" s="349"/>
      <c r="L66" s="349"/>
      <c r="M66" s="349"/>
      <c r="N66" s="349"/>
      <c r="O66" s="349"/>
    </row>
    <row r="67" ht="12" customHeight="1">
      <c r="A67" s="349"/>
      <c r="B67" s="349"/>
      <c r="C67" s="349"/>
      <c r="D67" s="349"/>
      <c r="E67" s="349"/>
      <c r="F67" s="349"/>
      <c r="G67" s="349"/>
      <c r="H67" s="349"/>
      <c r="I67" s="349"/>
      <c r="J67" s="349"/>
      <c r="K67" s="349"/>
      <c r="L67" s="349"/>
      <c r="M67" s="349"/>
      <c r="N67" s="349"/>
      <c r="O67" s="349"/>
    </row>
  </sheetData>
  <sheetProtection sheet="1" objects="1" formatCells="0" formatColumns="0" algorithmName="SHA-512" hashValue="plhvkYi/ZG3V6H/C0UZHnEUOZ+PxBL5j9IKuQ66GDWLrKBX1biW4SHNBJe0uv4cCMFoUCQ3yG5qi1rCSFlVL0A==" saltValue="j7fGUqBrls9+PlftYwLcWQ==" spinCount="100000"/>
  <mergeCells>
    <mergeCell ref="B2:C2"/>
    <mergeCell ref="C4:D4"/>
    <mergeCell ref="C5:D5"/>
  </mergeCells>
  <conditionalFormatting sqref="C59:N59">
    <cfRule type="expression" dxfId="5" priority="1" text="null">
      <formula>LEN(TRIM(C59))=0</formula>
    </cfRule>
  </conditionalFormatting>
  <printOptions horizontalCentered="1"/>
  <pageMargins left="0.25" right="0.25" top="0.75" bottom="0.75" header="0.3" footer="0.3"/>
  <pageSetup paperSize="1" scale="63" pageOrder="downThenOver" orientation="landscape"/>
  <headerFooter scaleWithDoc="0">
    <oddHeader>&amp;L&amp;C&amp;"Gill Sans MT,Regular"&amp;12Income Statement Year 1&amp;R</oddHeader>
    <oddFooter>&amp;L&amp;F&amp;C&amp;A&amp;R&amp;D &amp;T</oddFooter>
  </headerFooter>
  <rowBreaks count="1" manualBreakCount="1">
    <brk id="60" man="1" max="1048576"/>
  </rowBreaks>
  <legacyDrawing r:id="rId2"/>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7884B61-9674-313C-9FE8-632F03BA2F29}" mc:Ignorable="x14ac xr xr2 xr3">
  <sheetPr>
    <tabColor rgb="FFFFC95B"/>
    <pageSetUpPr fitToPage="1"/>
  </sheetPr>
  <dimension ref="A1:GR50000"/>
  <sheetViews>
    <sheetView topLeftCell="A34" zoomScale="90" workbookViewId="0">
      <selection activeCell="K47" sqref="K47"/>
    </sheetView>
  </sheetViews>
  <sheetFormatPr defaultRowHeight="12" defaultColWidth="8.8515625" customHeight="1"/>
  <cols>
    <col min="1" max="1" style="172" width="3.8515625" customWidth="1"/>
    <col min="2" max="2" style="172" width="46.7109375" customWidth="1"/>
    <col min="3" max="3" style="172" width="17.57421875" customWidth="1"/>
    <col min="4" max="4" style="414" width="9.28125" customWidth="1"/>
    <col min="5" max="5" style="172" width="13.8515625" customWidth="1"/>
    <col min="6" max="6" style="415" width="9.28125" customWidth="1"/>
    <col min="7" max="7" style="172" width="12.57421875" customWidth="1"/>
    <col min="8" max="8" style="414" width="9.7109375" customWidth="1"/>
    <col min="9" max="11" style="172" width="9.7109375" customWidth="1"/>
    <col min="12" max="14" style="172" width="10.140625" customWidth="1"/>
    <col min="15" max="15" style="172" width="11.57421875" customWidth="1"/>
    <col min="16" max="23" style="172" width="8.8515625" customWidth="1"/>
  </cols>
  <sheetData>
    <row r="1" ht="12" customHeight="1">
      <c r="I1" s="95"/>
      <c r="J1" s="95"/>
    </row>
    <row r="2" ht="12" customHeight="1">
      <c r="B2" s="90" t="s">
        <v>263</v>
      </c>
      <c r="C2" s="90"/>
      <c r="D2" s="353"/>
      <c r="E2" s="251"/>
      <c r="F2" s="354"/>
      <c r="G2" s="251"/>
      <c r="H2" s="353"/>
      <c r="I2" s="355"/>
      <c r="J2" s="355"/>
      <c r="K2" s="355"/>
    </row>
    <row r="3" ht="12" customHeight="1">
      <c r="B3" s="92"/>
      <c r="C3" s="92"/>
      <c r="D3" s="353"/>
      <c r="E3" s="251"/>
      <c r="F3" s="354"/>
      <c r="G3" s="251"/>
      <c r="H3" s="353"/>
      <c r="I3" s="355"/>
      <c r="J3" s="355"/>
      <c r="K3" s="355"/>
    </row>
    <row r="4" ht="19.5" customHeight="1">
      <c r="B4" s="93" t="s">
        <v>19</v>
      </c>
      <c r="C4" s="93" t="s">
        <v>20</v>
      </c>
      <c r="D4" s="356"/>
      <c r="E4" s="93"/>
      <c r="F4" s="357"/>
      <c r="G4" s="251"/>
      <c r="H4" s="356"/>
      <c r="I4" s="95"/>
      <c r="J4" s="95"/>
    </row>
    <row r="5" ht="18.75" customHeight="1">
      <c r="B5" s="141" t="str">
        <f>IF(ISBLANK(Directions!C10),"Owner",Directions!C10)</f>
        <v>Owner</v>
      </c>
      <c r="C5" s="141" t="str">
        <f>IF(ISBLANK(Directions!D10),"Company 1",Directions!D10)</f>
        <v>Company 1</v>
      </c>
      <c r="D5" s="358"/>
      <c r="E5" s="141"/>
      <c r="F5" s="359"/>
      <c r="G5" s="251"/>
      <c r="H5" s="358"/>
      <c r="I5" s="95"/>
      <c r="J5" s="95"/>
    </row>
    <row r="6" ht="12" customHeight="1">
      <c r="I6" s="95"/>
      <c r="J6" s="95"/>
    </row>
    <row r="7" ht="14.25" customHeight="1">
      <c r="B7" s="96" t="s">
        <v>248</v>
      </c>
      <c r="C7" s="96" t="str">
        <f>IF(Directions!F10&gt;0,Directions!F10,"First Year")</f>
        <v>First Year</v>
      </c>
      <c r="D7" s="96"/>
      <c r="E7" s="96" t="str">
        <f>IF(Directions!F10&gt;0,Directions!F10+1,"Second Year")</f>
        <v>Second Year</v>
      </c>
      <c r="F7" s="96"/>
      <c r="G7" s="96" t="str">
        <f>IF(Directions!F10&gt;0,Directions!F10+2,"Third Year")</f>
        <v>Third Year</v>
      </c>
      <c r="H7" s="96"/>
      <c r="I7" s="95"/>
      <c r="J7" s="95"/>
    </row>
    <row r="8" ht="14.25" customHeight="1">
      <c r="B8" s="360" t="str">
        <f>'3a-SalesForecastYear1'!B17</f>
        <v>Number of Contractors</v>
      </c>
      <c r="C8" s="361">
        <f>'3b-SalesForecastYrs1-3'!B13</f>
        <v>323460</v>
      </c>
      <c r="D8" s="362"/>
      <c r="E8" s="361">
        <f>'3b-SalesForecastYrs1-3'!O13</f>
        <v>812351.772102509</v>
      </c>
      <c r="F8" s="363"/>
      <c r="G8" s="361">
        <f>'3b-SalesForecastYrs1-3'!AD13</f>
        <v>1062687.43862648</v>
      </c>
      <c r="H8" s="362"/>
      <c r="I8" s="95"/>
      <c r="J8" s="95"/>
    </row>
    <row r="9" ht="14.25" customHeight="1">
      <c r="B9" s="364" t="str">
        <f>'3a-SalesForecastYear1'!B23</f>
        <v>Immediate Revenue (70%)</v>
      </c>
      <c r="C9" s="365">
        <f>'3b-SalesForecastYrs1-3'!B19</f>
        <v>226422</v>
      </c>
      <c r="D9" s="366"/>
      <c r="E9" s="365">
        <f>'3b-SalesForecastYrs1-3'!O19</f>
        <v>568646.240471756</v>
      </c>
      <c r="F9" s="367"/>
      <c r="G9" s="365">
        <f>'3b-SalesForecastYrs1-3'!AD19</f>
        <v>743881.207038535</v>
      </c>
      <c r="H9" s="366"/>
      <c r="I9" s="95"/>
      <c r="J9" s="95"/>
    </row>
    <row r="10" ht="14.25" customHeight="1">
      <c r="B10" s="342" t="str">
        <f>'3a-SalesForecastYear1'!B29</f>
        <v>Deferred Revenue - 1 Month (20%)</v>
      </c>
      <c r="C10" s="365">
        <f>'3b-SalesForecastYrs1-3'!B25</f>
        <v>53244</v>
      </c>
      <c r="D10" s="368"/>
      <c r="E10" s="365">
        <f>'3b-SalesForecastYrs1-3'!O25</f>
        <v>134881.04895287</v>
      </c>
      <c r="F10" s="369"/>
      <c r="G10" s="365">
        <f>'3b-SalesForecastYrs1-3'!AD25</f>
        <v>176446.216224773</v>
      </c>
      <c r="H10" s="368"/>
      <c r="I10" s="95"/>
      <c r="J10" s="95"/>
    </row>
    <row r="11" ht="14.25" customHeight="1">
      <c r="B11" s="364" t="str">
        <f>'3a-SalesForecastYear1'!B35</f>
        <v>Deferred Revenue - 6 Months (10%)</v>
      </c>
      <c r="C11" s="365">
        <f>'3b-SalesForecastYrs1-3'!B31</f>
        <v>8586</v>
      </c>
      <c r="D11" s="368"/>
      <c r="E11" s="365">
        <f>'3b-SalesForecastYrs1-3'!O31</f>
        <v>26822.9358713093</v>
      </c>
      <c r="F11" s="369"/>
      <c r="G11" s="365">
        <f>'3b-SalesForecastYrs1-3'!AD31</f>
        <v>35088.7361810628</v>
      </c>
      <c r="H11" s="368"/>
      <c r="I11" s="95"/>
      <c r="J11" s="95"/>
    </row>
    <row r="12" ht="12" customHeight="1">
      <c r="B12" s="364" t="str">
        <f>'3a-SalesForecastYear1'!B41</f>
        <v>Product 5</v>
      </c>
      <c r="C12" s="365">
        <f>'3b-SalesForecastYrs1-3'!B37</f>
        <v>0</v>
      </c>
      <c r="D12" s="368"/>
      <c r="E12" s="365">
        <f>'3b-SalesForecastYrs1-3'!O37</f>
        <v>0</v>
      </c>
      <c r="F12" s="369"/>
      <c r="G12" s="365">
        <f>'3b-SalesForecastYrs1-3'!AD37</f>
        <v>0</v>
      </c>
      <c r="H12" s="368"/>
      <c r="I12" s="95"/>
      <c r="J12" s="95"/>
    </row>
    <row r="13" ht="12" customHeight="1">
      <c r="B13" s="364" t="str">
        <f>'3a-SalesForecastYear1'!B47</f>
        <v>Product 6</v>
      </c>
      <c r="C13" s="365">
        <f>'3b-SalesForecastYrs1-3'!B43</f>
        <v>0</v>
      </c>
      <c r="D13" s="368"/>
      <c r="E13" s="365">
        <f>'3b-SalesForecastYrs1-3'!O43</f>
        <v>0</v>
      </c>
      <c r="F13" s="369"/>
      <c r="G13" s="365">
        <f>'3b-SalesForecastYrs1-3'!AD43</f>
        <v>0</v>
      </c>
      <c r="H13" s="368"/>
      <c r="I13" s="95"/>
      <c r="J13" s="95"/>
    </row>
    <row r="14" ht="14.25" customHeight="1">
      <c r="B14" s="370" t="s">
        <v>249</v>
      </c>
      <c r="C14" s="161">
        <f t="shared" si="0" ref="C14:G22">SUM(C8:C13)</f>
        <v>611712</v>
      </c>
      <c r="D14" s="371">
        <v>1</v>
      </c>
      <c r="E14" s="161">
        <f t="shared" si="0"/>
        <v>1542701.99739844</v>
      </c>
      <c r="F14" s="372">
        <v>1</v>
      </c>
      <c r="G14" s="161">
        <f t="shared" si="0"/>
        <v>2018103.59807085</v>
      </c>
      <c r="H14" s="371">
        <v>1</v>
      </c>
      <c r="I14" s="95"/>
      <c r="J14" s="95"/>
    </row>
    <row r="15" ht="14.25" customHeight="1">
      <c r="B15" s="96" t="s">
        <v>229</v>
      </c>
      <c r="C15" s="96"/>
      <c r="D15" s="96"/>
      <c r="E15" s="96"/>
      <c r="F15" s="96"/>
      <c r="G15" s="96"/>
      <c r="H15" s="96"/>
      <c r="I15" s="95"/>
      <c r="J15" s="95"/>
    </row>
    <row r="16" ht="14.25" customHeight="1">
      <c r="B16" s="360" t="str">
        <f>'3a-SalesForecastYear1'!B17</f>
        <v>Number of Contractors</v>
      </c>
      <c r="C16" s="361">
        <f>'3b-SalesForecastYrs1-3'!B14</f>
        <v>107820</v>
      </c>
      <c r="D16" s="362"/>
      <c r="E16" s="361">
        <f>'3b-SalesForecastYrs1-3'!O14</f>
        <v>270783.92403417</v>
      </c>
      <c r="F16" s="373"/>
      <c r="G16" s="361">
        <f>'3b-SalesForecastYrs1-3'!AD14</f>
        <v>354229.146208826</v>
      </c>
      <c r="H16" s="362"/>
      <c r="I16" s="95"/>
      <c r="J16" s="95"/>
    </row>
    <row r="17" ht="14.25" customHeight="1">
      <c r="B17" s="364" t="str">
        <f>'3a-SalesForecastYear1'!B23</f>
        <v>Immediate Revenue (70%)</v>
      </c>
      <c r="C17" s="365">
        <f>'3b-SalesForecastYrs1-3'!B20</f>
        <v>107820</v>
      </c>
      <c r="D17" s="368"/>
      <c r="E17" s="365">
        <f>'3b-SalesForecastYrs1-3'!O20</f>
        <v>270783.92403417</v>
      </c>
      <c r="F17" s="374"/>
      <c r="G17" s="365">
        <f>'3b-SalesForecastYrs1-3'!AD20</f>
        <v>354229.146208826</v>
      </c>
      <c r="H17" s="368"/>
      <c r="I17" s="95"/>
      <c r="J17" s="95"/>
    </row>
    <row r="18" ht="14.25" customHeight="1">
      <c r="B18" s="342" t="str">
        <f>'3a-SalesForecastYear1'!B29</f>
        <v>Deferred Revenue - 1 Month (20%)</v>
      </c>
      <c r="C18" s="365">
        <f>'3b-SalesForecastYrs1-3'!B26</f>
        <v>0</v>
      </c>
      <c r="D18" s="368"/>
      <c r="E18" s="365">
        <f>'3b-SalesForecastYrs1-3'!O26</f>
        <v>0</v>
      </c>
      <c r="F18" s="374"/>
      <c r="G18" s="365">
        <f>'3b-SalesForecastYrs1-3'!AD26</f>
        <v>0</v>
      </c>
      <c r="H18" s="368"/>
      <c r="I18" s="95"/>
      <c r="J18" s="95"/>
    </row>
    <row r="19" ht="14.25" customHeight="1">
      <c r="B19" s="364" t="str">
        <f>'3a-SalesForecastYear1'!B35</f>
        <v>Deferred Revenue - 6 Months (10%)</v>
      </c>
      <c r="C19" s="365">
        <f>'3b-SalesForecastYrs1-3'!B32</f>
        <v>0</v>
      </c>
      <c r="D19" s="368"/>
      <c r="E19" s="365">
        <f>'3b-SalesForecastYrs1-3'!O32</f>
        <v>0</v>
      </c>
      <c r="F19" s="374"/>
      <c r="G19" s="365">
        <f>'3b-SalesForecastYrs1-3'!AD32</f>
        <v>0</v>
      </c>
      <c r="H19" s="368"/>
      <c r="I19" s="95"/>
      <c r="J19" s="95"/>
    </row>
    <row r="20" ht="12" customHeight="1">
      <c r="B20" s="364" t="str">
        <f>'3a-SalesForecastYear1'!B41</f>
        <v>Product 5</v>
      </c>
      <c r="C20" s="365">
        <f>'3b-SalesForecastYrs1-3'!B38</f>
        <v>0</v>
      </c>
      <c r="D20" s="368"/>
      <c r="E20" s="365">
        <f>'3b-SalesForecastYrs1-3'!O38</f>
        <v>0</v>
      </c>
      <c r="F20" s="374"/>
      <c r="G20" s="365">
        <f>'3b-SalesForecastYrs1-3'!AD38</f>
        <v>0</v>
      </c>
      <c r="H20" s="368"/>
      <c r="I20" s="95"/>
      <c r="J20" s="95"/>
    </row>
    <row r="21" ht="12" customHeight="1">
      <c r="B21" s="364" t="str">
        <f>'3a-SalesForecastYear1'!B47</f>
        <v>Product 6</v>
      </c>
      <c r="C21" s="365">
        <f>'3b-SalesForecastYrs1-3'!B44</f>
        <v>0</v>
      </c>
      <c r="D21" s="368"/>
      <c r="E21" s="365">
        <f>'3b-SalesForecastYrs1-3'!O44</f>
        <v>0</v>
      </c>
      <c r="F21" s="374"/>
      <c r="G21" s="365">
        <f>'3b-SalesForecastYrs1-3'!AD44</f>
        <v>0</v>
      </c>
      <c r="H21" s="368"/>
      <c r="I21" s="95"/>
      <c r="J21" s="95"/>
    </row>
    <row r="22" ht="14.25" customHeight="1">
      <c r="B22" s="370" t="s">
        <v>140</v>
      </c>
      <c r="C22" s="375">
        <f t="shared" si="0"/>
        <v>215640</v>
      </c>
      <c r="D22" s="376">
        <f t="shared" si="1" ref="D22:H22">IF(C14=0,0,C22/C14)</f>
        <v>0.352518832391714</v>
      </c>
      <c r="E22" s="375">
        <f t="shared" si="0"/>
        <v>541567.84806834</v>
      </c>
      <c r="F22" s="376">
        <f t="shared" si="1"/>
        <v>0.351051498592484</v>
      </c>
      <c r="G22" s="375">
        <f t="shared" si="0"/>
        <v>708458.292417652</v>
      </c>
      <c r="H22" s="376">
        <f t="shared" si="1"/>
        <v>0.351051498592482</v>
      </c>
      <c r="I22" s="95"/>
      <c r="J22" s="95"/>
    </row>
    <row r="23" ht="14.25" customHeight="1">
      <c r="B23" s="370" t="s">
        <v>250</v>
      </c>
      <c r="C23" s="343">
        <f t="shared" si="2" ref="C23:G23">C14-C22</f>
        <v>396072</v>
      </c>
      <c r="D23" s="376">
        <f t="shared" si="3" ref="D23:H23">IF(C14=0,0,C23/C14)</f>
        <v>0.647481167608286</v>
      </c>
      <c r="E23" s="343">
        <f t="shared" si="2"/>
        <v>1001134.1493301</v>
      </c>
      <c r="F23" s="376">
        <f t="shared" si="3"/>
        <v>0.648948501407516</v>
      </c>
      <c r="G23" s="343">
        <f t="shared" si="2"/>
        <v>1309645.3056532</v>
      </c>
      <c r="H23" s="376">
        <f t="shared" si="3"/>
        <v>0.648948501407519</v>
      </c>
      <c r="I23" s="95"/>
      <c r="J23" s="95"/>
    </row>
    <row r="24" ht="14.25" customHeight="1">
      <c r="B24" s="370" t="s">
        <v>232</v>
      </c>
      <c r="C24" s="343">
        <f>'2a-PayrollYear1'!R25</f>
        <v>54827.602</v>
      </c>
      <c r="D24" s="376"/>
      <c r="E24" s="343">
        <f>'2b-PayrollYrs1-3'!E26</f>
        <v>65793.1224</v>
      </c>
      <c r="F24" s="374"/>
      <c r="G24" s="343">
        <f>'2b-PayrollYrs1-3'!G26</f>
        <v>85531.05912</v>
      </c>
      <c r="H24" s="368"/>
      <c r="I24" s="95"/>
      <c r="J24" s="95"/>
    </row>
    <row r="25" ht="14.25" customHeight="1">
      <c r="B25" s="96" t="s">
        <v>231</v>
      </c>
      <c r="C25" s="96"/>
      <c r="D25" s="96"/>
      <c r="E25" s="96"/>
      <c r="F25" s="96"/>
      <c r="G25" s="96"/>
      <c r="H25" s="96"/>
      <c r="I25" s="95"/>
      <c r="J25" s="95"/>
    </row>
    <row r="26" ht="12.75" customHeight="1" s="94" customFormat="1">
      <c r="B26" s="377" t="str">
        <f>'5a-OpExYear1'!B10</f>
        <v>Advertising</v>
      </c>
      <c r="C26" s="148">
        <f>'5b-OpExYrs1-3'!C8</f>
        <v>0</v>
      </c>
      <c r="D26" s="378"/>
      <c r="E26" s="148">
        <f>'5b-OpExYrs1-3'!E8</f>
        <v>0</v>
      </c>
      <c r="F26" s="379"/>
      <c r="G26" s="148">
        <f>'5b-OpExYrs1-3'!G8</f>
        <v>0</v>
      </c>
      <c r="H26" s="378"/>
    </row>
    <row r="27" ht="12" customHeight="1" s="94" customFormat="1">
      <c r="B27" s="377" t="str">
        <f>'5a-OpExYear1'!B11</f>
        <v>Car and Truck Expenses</v>
      </c>
      <c r="C27" s="151">
        <f>'5b-OpExYrs1-3'!C9</f>
        <v>0</v>
      </c>
      <c r="D27" s="366"/>
      <c r="E27" s="151">
        <f>'5b-OpExYrs1-3'!E9</f>
        <v>0</v>
      </c>
      <c r="F27" s="380"/>
      <c r="G27" s="151">
        <f>'5b-OpExYrs1-3'!G9</f>
        <v>0</v>
      </c>
      <c r="H27" s="366"/>
    </row>
    <row r="28" ht="14.25" customHeight="1" s="94" customFormat="1">
      <c r="B28" s="377" t="str">
        <f>'5a-OpExYear1'!B12</f>
        <v>Closer Commissions (1% of contract value)</v>
      </c>
      <c r="C28" s="151">
        <f>'5b-OpExYrs1-3'!C10</f>
        <v>107820</v>
      </c>
      <c r="D28" s="366"/>
      <c r="E28" s="151">
        <f>'5b-OpExYrs1-3'!E10</f>
        <v>113211</v>
      </c>
      <c r="F28" s="380"/>
      <c r="G28" s="151">
        <f>'5b-OpExYrs1-3'!G10</f>
        <v>118871.55</v>
      </c>
      <c r="H28" s="366"/>
    </row>
    <row r="29" ht="12" customHeight="1" s="94" customFormat="1">
      <c r="B29" s="377" t="str">
        <f>'5a-OpExYear1'!B13</f>
        <v>Contract Labor (Not included in payroll)</v>
      </c>
      <c r="C29" s="151">
        <f>'5b-OpExYrs1-3'!C11</f>
        <v>0</v>
      </c>
      <c r="D29" s="366"/>
      <c r="E29" s="151">
        <f>'5b-OpExYrs1-3'!E11</f>
        <v>0</v>
      </c>
      <c r="F29" s="380"/>
      <c r="G29" s="151">
        <f>'5b-OpExYrs1-3'!G11</f>
        <v>0</v>
      </c>
      <c r="H29" s="366"/>
    </row>
    <row r="30" ht="12" customHeight="1" s="94" customFormat="1">
      <c r="B30" s="377" t="str">
        <f>'5a-OpExYear1'!B14</f>
        <v>Insurance (other than health)</v>
      </c>
      <c r="C30" s="151">
        <f>'5b-OpExYrs1-3'!C12</f>
        <v>0</v>
      </c>
      <c r="D30" s="366"/>
      <c r="E30" s="151">
        <f>'5b-OpExYrs1-3'!E12</f>
        <v>0</v>
      </c>
      <c r="F30" s="380"/>
      <c r="G30" s="151">
        <f>'5b-OpExYrs1-3'!G12</f>
        <v>0</v>
      </c>
      <c r="H30" s="366"/>
    </row>
    <row r="31" ht="14.25" customHeight="1">
      <c r="B31" s="377" t="str">
        <f>'5a-OpExYear1'!B15</f>
        <v>Legal and Professional Services (Company Setup)</v>
      </c>
      <c r="C31" s="151">
        <f>'5b-OpExYrs1-3'!C13</f>
        <v>2000</v>
      </c>
      <c r="D31" s="366"/>
      <c r="E31" s="151">
        <f>'5b-OpExYrs1-3'!E13</f>
        <v>2060</v>
      </c>
      <c r="F31" s="380"/>
      <c r="G31" s="151">
        <f>'5b-OpExYrs1-3'!G13</f>
        <v>2121.8</v>
      </c>
      <c r="H31" s="366"/>
      <c r="I31" s="95"/>
      <c r="J31" s="95"/>
    </row>
    <row r="32" ht="12" customHeight="1">
      <c r="B32" s="377" t="str">
        <f>'5a-OpExYear1'!B16</f>
        <v>Licenses</v>
      </c>
      <c r="C32" s="151">
        <f>'5b-OpExYrs1-3'!C14</f>
        <v>0</v>
      </c>
      <c r="D32" s="366"/>
      <c r="E32" s="151">
        <f>'5b-OpExYrs1-3'!E14</f>
        <v>0</v>
      </c>
      <c r="F32" s="380"/>
      <c r="G32" s="151">
        <f>'5b-OpExYrs1-3'!G14</f>
        <v>0</v>
      </c>
      <c r="H32" s="366"/>
      <c r="I32" s="95"/>
      <c r="J32" s="95"/>
    </row>
    <row r="33" ht="14.25" customHeight="1">
      <c r="B33" s="377" t="str">
        <f>'5a-OpExYear1'!B17</f>
        <v>Software &amp; Tools (CRM, dialing, calendaring)</v>
      </c>
      <c r="C33" s="151">
        <f>'5b-OpExYrs1-3'!C15</f>
        <v>12000</v>
      </c>
      <c r="D33" s="366"/>
      <c r="E33" s="151">
        <f>'5b-OpExYrs1-3'!E15</f>
        <v>12360</v>
      </c>
      <c r="F33" s="380"/>
      <c r="G33" s="151">
        <f>'5b-OpExYrs1-3'!G15</f>
        <v>12730.8</v>
      </c>
      <c r="H33" s="366"/>
      <c r="I33" s="95"/>
      <c r="J33" s="95"/>
    </row>
    <row r="34" ht="12" customHeight="1">
      <c r="B34" s="377" t="str">
        <f>'5a-OpExYear1'!B18</f>
        <v>Rent or Lease -- Vehicles, Machinery, Equipment</v>
      </c>
      <c r="C34" s="151">
        <f>'5b-OpExYrs1-3'!C16</f>
        <v>0</v>
      </c>
      <c r="D34" s="366"/>
      <c r="E34" s="151">
        <f>'5b-OpExYrs1-3'!E16</f>
        <v>0</v>
      </c>
      <c r="F34" s="380"/>
      <c r="G34" s="151">
        <f>'5b-OpExYrs1-3'!G16</f>
        <v>0</v>
      </c>
      <c r="H34" s="366"/>
      <c r="I34" s="95"/>
      <c r="J34" s="95"/>
    </row>
    <row r="35" ht="12" customHeight="1">
      <c r="B35" s="377" t="str">
        <f>'5a-OpExYear1'!B19</f>
        <v>Rent or Lease -- Other Business Property</v>
      </c>
      <c r="C35" s="151">
        <f>'5b-OpExYrs1-3'!C17</f>
        <v>0</v>
      </c>
      <c r="D35" s="366"/>
      <c r="E35" s="151">
        <f>'5b-OpExYrs1-3'!E17</f>
        <v>0</v>
      </c>
      <c r="F35" s="380"/>
      <c r="G35" s="151">
        <f>'5b-OpExYrs1-3'!G17</f>
        <v>0</v>
      </c>
      <c r="H35" s="366"/>
      <c r="I35" s="95"/>
      <c r="J35" s="95"/>
    </row>
    <row r="36" ht="12" customHeight="1">
      <c r="B36" s="377" t="str">
        <f>'5a-OpExYear1'!B20</f>
        <v>Repairs and Maintenance</v>
      </c>
      <c r="C36" s="151">
        <f>'5b-OpExYrs1-3'!C18</f>
        <v>0</v>
      </c>
      <c r="D36" s="366"/>
      <c r="E36" s="151">
        <f>'5b-OpExYrs1-3'!E18</f>
        <v>0</v>
      </c>
      <c r="F36" s="380"/>
      <c r="G36" s="151">
        <f>'5b-OpExYrs1-3'!G18</f>
        <v>0</v>
      </c>
      <c r="H36" s="366"/>
      <c r="I36" s="95"/>
      <c r="J36" s="95"/>
    </row>
    <row r="37" ht="12" customHeight="1">
      <c r="B37" s="377" t="str">
        <f>'5a-OpExYear1'!B21</f>
        <v>Supplies</v>
      </c>
      <c r="C37" s="151">
        <f>'5b-OpExYrs1-3'!C19</f>
        <v>0</v>
      </c>
      <c r="D37" s="366"/>
      <c r="E37" s="151">
        <f>'5b-OpExYrs1-3'!E19</f>
        <v>0</v>
      </c>
      <c r="F37" s="380"/>
      <c r="G37" s="151">
        <f>'5b-OpExYrs1-3'!G19</f>
        <v>0</v>
      </c>
      <c r="H37" s="366"/>
      <c r="I37" s="95"/>
      <c r="J37" s="95"/>
    </row>
    <row r="38" ht="12" customHeight="1">
      <c r="B38" s="377" t="str">
        <f>'5a-OpExYear1'!B22</f>
        <v>Travel, Meals and Entertainment</v>
      </c>
      <c r="C38" s="151">
        <f>'5b-OpExYrs1-3'!C20</f>
        <v>0</v>
      </c>
      <c r="D38" s="366"/>
      <c r="E38" s="151">
        <f>'5b-OpExYrs1-3'!E20</f>
        <v>0</v>
      </c>
      <c r="F38" s="380"/>
      <c r="G38" s="151">
        <f>'5b-OpExYrs1-3'!G20</f>
        <v>0</v>
      </c>
      <c r="H38" s="366"/>
      <c r="I38" s="95"/>
      <c r="J38" s="95"/>
    </row>
    <row r="39" ht="12" customHeight="1">
      <c r="B39" s="377" t="str">
        <f>'5a-OpExYear1'!B23</f>
        <v>Utilities</v>
      </c>
      <c r="C39" s="151">
        <f>'5b-OpExYrs1-3'!C21</f>
        <v>0</v>
      </c>
      <c r="D39" s="366"/>
      <c r="E39" s="151">
        <f>'5b-OpExYrs1-3'!E21</f>
        <v>0</v>
      </c>
      <c r="F39" s="380"/>
      <c r="G39" s="151">
        <f>'5b-OpExYrs1-3'!G21</f>
        <v>0</v>
      </c>
      <c r="H39" s="366"/>
      <c r="I39" s="95"/>
      <c r="J39" s="95"/>
    </row>
    <row r="40" ht="12" customHeight="1">
      <c r="B40" s="377" t="str">
        <f>'5a-OpExYear1'!B24</f>
        <v>Miscellaneous </v>
      </c>
      <c r="C40" s="151">
        <f>'5b-OpExYrs1-3'!C22</f>
        <v>0</v>
      </c>
      <c r="D40" s="366"/>
      <c r="E40" s="151">
        <f>'5b-OpExYrs1-3'!E22</f>
        <v>0</v>
      </c>
      <c r="F40" s="380"/>
      <c r="G40" s="151">
        <f>'5b-OpExYrs1-3'!G22</f>
        <v>0</v>
      </c>
      <c r="H40" s="366"/>
      <c r="I40" s="95"/>
      <c r="J40" s="95"/>
    </row>
    <row r="41" ht="12" customHeight="1">
      <c r="B41" s="381" t="s">
        <v>251</v>
      </c>
      <c r="C41" s="151"/>
      <c r="D41" s="366"/>
      <c r="E41" s="151"/>
      <c r="F41" s="380"/>
      <c r="G41" s="151"/>
      <c r="H41" s="366"/>
      <c r="I41" s="95"/>
      <c r="J41" s="95"/>
    </row>
    <row r="42" ht="12" customHeight="1">
      <c r="B42" s="381" t="s">
        <v>252</v>
      </c>
      <c r="C42" s="151"/>
      <c r="D42" s="366"/>
      <c r="E42" s="151"/>
      <c r="F42" s="380"/>
      <c r="G42" s="151"/>
      <c r="H42" s="366"/>
      <c r="I42" s="95"/>
      <c r="J42" s="95"/>
    </row>
    <row r="43" ht="14.25" customHeight="1">
      <c r="B43" s="382" t="s">
        <v>218</v>
      </c>
      <c r="C43" s="383">
        <f t="shared" si="4" ref="C43:G43">SUM(C26:C42)</f>
        <v>121820</v>
      </c>
      <c r="D43" s="384">
        <f t="shared" si="5" ref="D43:H43">IF(C14=0,0,C43/C14)</f>
        <v>0.199146003347981</v>
      </c>
      <c r="E43" s="383">
        <f t="shared" si="4"/>
        <v>127631</v>
      </c>
      <c r="F43" s="384">
        <f t="shared" si="5"/>
        <v>0.0827321156096463</v>
      </c>
      <c r="G43" s="383">
        <f t="shared" si="4"/>
        <v>133724.15</v>
      </c>
      <c r="H43" s="384">
        <f t="shared" si="5"/>
        <v>0.0662622821384541</v>
      </c>
    </row>
    <row r="44" ht="14.25" customHeight="1">
      <c r="B44" s="385" t="s">
        <v>253</v>
      </c>
      <c r="C44" s="386">
        <f t="shared" si="6" ref="C44:G44">C23-C24-C43</f>
        <v>219424.398</v>
      </c>
      <c r="D44" s="387">
        <f t="shared" si="7" ref="D44:H44">IF(C14=0,0,C44/C14)</f>
        <v>0.358705400580665</v>
      </c>
      <c r="E44" s="386">
        <f t="shared" si="6"/>
        <v>807710.0269301</v>
      </c>
      <c r="F44" s="387">
        <f t="shared" si="7"/>
        <v>0.52356840679029</v>
      </c>
      <c r="G44" s="386">
        <f t="shared" si="6"/>
        <v>1090390.0965332</v>
      </c>
      <c r="H44" s="387">
        <f t="shared" si="7"/>
        <v>0.540304322124755</v>
      </c>
    </row>
    <row r="45" ht="18" customHeight="1">
      <c r="B45" s="388" t="s">
        <v>208</v>
      </c>
      <c r="C45" s="389"/>
      <c r="D45" s="390"/>
      <c r="E45" s="389"/>
      <c r="F45" s="391"/>
      <c r="G45" s="389"/>
      <c r="H45" s="390"/>
    </row>
    <row r="46" ht="18" customHeight="1">
      <c r="B46" s="392" t="s">
        <v>254</v>
      </c>
      <c r="C46" s="393">
        <f>+'Amortization&amp;Depreciation'!O138+'Amortization&amp;Depreciation'!O149</f>
        <v>0</v>
      </c>
      <c r="D46" s="362"/>
      <c r="E46" s="393">
        <f>+'Amortization&amp;Depreciation'!O141+'Amortization&amp;Depreciation'!O152</f>
        <v>0</v>
      </c>
      <c r="F46" s="373"/>
      <c r="G46" s="393">
        <f>+'Amortization&amp;Depreciation'!O144+'Amortization&amp;Depreciation'!O155</f>
        <v>0</v>
      </c>
      <c r="H46" s="362"/>
    </row>
    <row r="47" ht="18" customHeight="1">
      <c r="B47" s="394" t="s">
        <v>255</v>
      </c>
      <c r="C47" s="343">
        <f>+'Amortization&amp;Depreciation'!O119</f>
        <v>0</v>
      </c>
      <c r="D47" s="368"/>
      <c r="E47" s="343">
        <f>+'Amortization&amp;Depreciation'!O123</f>
        <v>0</v>
      </c>
      <c r="F47" s="374"/>
      <c r="G47" s="343">
        <f>+'Amortization&amp;Depreciation'!O127</f>
        <v>0</v>
      </c>
      <c r="H47" s="368"/>
    </row>
    <row r="48" ht="18" customHeight="1">
      <c r="B48" s="394" t="s">
        <v>210</v>
      </c>
      <c r="C48" s="395"/>
      <c r="D48" s="368"/>
      <c r="E48" s="395"/>
      <c r="F48" s="374"/>
      <c r="G48" s="395"/>
      <c r="H48" s="368"/>
    </row>
    <row r="49" ht="18" customHeight="1">
      <c r="B49" s="396" t="s">
        <v>59</v>
      </c>
      <c r="C49" s="343">
        <f>'5b-OpExYrs1-3'!C28</f>
        <v>0</v>
      </c>
      <c r="D49" s="368"/>
      <c r="E49" s="343">
        <f>'5b-OpExYrs1-3'!E28</f>
        <v>0</v>
      </c>
      <c r="F49" s="374"/>
      <c r="G49" s="343">
        <f>'5b-OpExYrs1-3'!G28</f>
        <v>0</v>
      </c>
      <c r="H49" s="368"/>
    </row>
    <row r="50" ht="18" customHeight="1">
      <c r="B50" s="396" t="s">
        <v>60</v>
      </c>
      <c r="C50" s="343">
        <f>'5b-OpExYrs1-3'!C29</f>
        <v>0</v>
      </c>
      <c r="D50" s="368"/>
      <c r="E50" s="343">
        <f>'5b-OpExYrs1-3'!E29</f>
        <v>0</v>
      </c>
      <c r="F50" s="374"/>
      <c r="G50" s="343">
        <f>'5b-OpExYrs1-3'!G29</f>
        <v>0</v>
      </c>
      <c r="H50" s="368"/>
    </row>
    <row r="51" ht="18" customHeight="1">
      <c r="B51" s="396" t="s">
        <v>62</v>
      </c>
      <c r="C51" s="343">
        <f>'5b-OpExYrs1-3'!C30</f>
        <v>0</v>
      </c>
      <c r="D51" s="368"/>
      <c r="E51" s="343">
        <f>'5b-OpExYrs1-3'!E30</f>
        <v>0</v>
      </c>
      <c r="F51" s="374"/>
      <c r="G51" s="343">
        <f>'5b-OpExYrs1-3'!G30</f>
        <v>0</v>
      </c>
      <c r="H51" s="368"/>
    </row>
    <row r="52" ht="18" customHeight="1">
      <c r="B52" s="396" t="s">
        <v>63</v>
      </c>
      <c r="C52" s="343">
        <f>'5b-OpExYrs1-3'!C31</f>
        <v>0</v>
      </c>
      <c r="D52" s="368"/>
      <c r="E52" s="343">
        <f>'5b-OpExYrs1-3'!E31</f>
        <v>0</v>
      </c>
      <c r="F52" s="374"/>
      <c r="G52" s="343">
        <f>'5b-OpExYrs1-3'!G31</f>
        <v>0</v>
      </c>
      <c r="H52" s="368"/>
    </row>
    <row r="53" ht="18" customHeight="1">
      <c r="B53" s="396" t="s">
        <v>64</v>
      </c>
      <c r="C53" s="343">
        <f>'5b-OpExYrs1-3'!C32</f>
        <v>0</v>
      </c>
      <c r="D53" s="368"/>
      <c r="E53" s="343">
        <f>'5b-OpExYrs1-3'!E32</f>
        <v>0</v>
      </c>
      <c r="F53" s="374"/>
      <c r="G53" s="343">
        <f>'5b-OpExYrs1-3'!G32</f>
        <v>0</v>
      </c>
      <c r="H53" s="368"/>
    </row>
    <row r="54" ht="18" customHeight="1">
      <c r="B54" s="333" t="s">
        <v>256</v>
      </c>
      <c r="C54" s="343">
        <f>+'6a-CashFlowYear1'!O26</f>
        <v>0</v>
      </c>
      <c r="D54" s="368"/>
      <c r="E54" s="343">
        <f>'6b-CashFlowYrs1-3'!O25</f>
        <v>0</v>
      </c>
      <c r="F54" s="374"/>
      <c r="G54" s="343">
        <f>+'6b-CashFlowYrs1-3'!AB25</f>
        <v>0</v>
      </c>
      <c r="H54" s="368"/>
    </row>
    <row r="55" ht="18" customHeight="1">
      <c r="B55" s="331" t="s">
        <v>212</v>
      </c>
      <c r="C55" s="343">
        <f>+'3a-SalesForecastYear1'!O53*'4-AdditionalInputs'!$C$12</f>
        <v>0</v>
      </c>
      <c r="D55" s="368"/>
      <c r="E55" s="343">
        <f>'3b-SalesForecastYrs1-3'!O47*'4-AdditionalInputs'!$D$12</f>
        <v>0</v>
      </c>
      <c r="F55" s="374"/>
      <c r="G55" s="343">
        <f>'3b-SalesForecastYrs1-3'!AD47*'4-AdditionalInputs'!$E$12</f>
        <v>0</v>
      </c>
      <c r="H55" s="368"/>
    </row>
    <row r="56" ht="18" customHeight="1">
      <c r="B56" s="370" t="s">
        <v>213</v>
      </c>
      <c r="C56" s="135">
        <f t="shared" si="8" ref="C56:G56">SUM(C46:C55)</f>
        <v>0</v>
      </c>
      <c r="D56" s="376">
        <f t="shared" si="9" ref="D56:H56">IF(C14=0,0,C56/C14)</f>
        <v>0</v>
      </c>
      <c r="E56" s="135">
        <f t="shared" si="8"/>
        <v>0</v>
      </c>
      <c r="F56" s="376">
        <f t="shared" si="9"/>
        <v>0</v>
      </c>
      <c r="G56" s="135">
        <f t="shared" si="8"/>
        <v>0</v>
      </c>
      <c r="H56" s="376">
        <f t="shared" si="9"/>
        <v>0</v>
      </c>
    </row>
    <row r="57" ht="14.25" customHeight="1">
      <c r="B57" s="329" t="s">
        <v>257</v>
      </c>
      <c r="C57" s="135">
        <f t="shared" si="10" ref="C57:G57">C23-C24-C43-C56</f>
        <v>219424.398</v>
      </c>
      <c r="D57" s="376">
        <f t="shared" si="11" ref="D57:H57">IF(C14=0,0,C57/C14)</f>
        <v>0.358705400580665</v>
      </c>
      <c r="E57" s="135">
        <f t="shared" si="10"/>
        <v>807710.0269301</v>
      </c>
      <c r="F57" s="376">
        <f t="shared" si="11"/>
        <v>0.52356840679029</v>
      </c>
      <c r="G57" s="135">
        <f t="shared" si="10"/>
        <v>1090390.0965332</v>
      </c>
      <c r="H57" s="376">
        <f t="shared" si="11"/>
        <v>0.540304322124755</v>
      </c>
    </row>
    <row r="58" ht="12" customHeight="1">
      <c r="B58" s="114" t="s">
        <v>258</v>
      </c>
      <c r="C58" s="109">
        <f>+'7a-IncomeStatementYear1'!O59</f>
        <v>0</v>
      </c>
      <c r="D58" s="376"/>
      <c r="E58" s="109">
        <f>O65</f>
        <v>0</v>
      </c>
      <c r="F58" s="376"/>
      <c r="G58" s="109">
        <f>O69</f>
        <v>0</v>
      </c>
      <c r="H58" s="376"/>
    </row>
    <row r="59" ht="14.25" customHeight="1">
      <c r="B59" s="370" t="s">
        <v>264</v>
      </c>
      <c r="C59" s="135">
        <f t="shared" si="12" ref="C59:G59">C57-C58</f>
        <v>219424.398</v>
      </c>
      <c r="D59" s="376">
        <f t="shared" si="13" ref="D59:H59">IF(C14=0,0,C59/C14)</f>
        <v>0.358705400580665</v>
      </c>
      <c r="E59" s="135">
        <f t="shared" si="12"/>
        <v>807710.0269301</v>
      </c>
      <c r="F59" s="376">
        <f t="shared" si="13"/>
        <v>0.52356840679029</v>
      </c>
      <c r="G59" s="135">
        <f t="shared" si="12"/>
        <v>1090390.0965332</v>
      </c>
      <c r="H59" s="376">
        <f t="shared" si="13"/>
        <v>0.540304322124755</v>
      </c>
    </row>
    <row r="60" ht="12" customHeight="1">
      <c r="Q60" s="94"/>
    </row>
    <row r="61" ht="12" customHeight="1">
      <c r="A61" s="349"/>
      <c r="B61" s="349"/>
      <c r="C61" s="349"/>
      <c r="D61" s="397"/>
      <c r="E61" s="349"/>
      <c r="F61" s="398"/>
      <c r="G61" s="349"/>
      <c r="H61" s="397"/>
      <c r="I61" s="349"/>
      <c r="J61" s="349"/>
      <c r="K61" s="349"/>
      <c r="L61" s="349"/>
      <c r="M61" s="349"/>
      <c r="N61" s="349"/>
      <c r="O61" s="349"/>
      <c r="P61" s="349"/>
      <c r="Q61" s="94"/>
    </row>
    <row r="62" ht="12" customHeight="1">
      <c r="A62" s="349"/>
      <c r="B62" s="399" t="s">
        <v>260</v>
      </c>
      <c r="C62" s="399" t="s">
        <v>6</v>
      </c>
      <c r="D62" s="400" t="s">
        <v>7</v>
      </c>
      <c r="E62" s="399" t="s">
        <v>8</v>
      </c>
      <c r="F62" s="400" t="s">
        <v>9</v>
      </c>
      <c r="G62" s="399" t="s">
        <v>10</v>
      </c>
      <c r="H62" s="400" t="s">
        <v>11</v>
      </c>
      <c r="I62" s="399" t="s">
        <v>12</v>
      </c>
      <c r="J62" s="400" t="s">
        <v>13</v>
      </c>
      <c r="K62" s="399" t="s">
        <v>14</v>
      </c>
      <c r="L62" s="400" t="s">
        <v>15</v>
      </c>
      <c r="M62" s="399" t="s">
        <v>16</v>
      </c>
      <c r="N62" s="400" t="s">
        <v>17</v>
      </c>
      <c r="O62" s="399" t="s">
        <v>265</v>
      </c>
      <c r="P62" s="349"/>
      <c r="Q62" s="94"/>
    </row>
    <row r="63" ht="14.25" customHeight="1">
      <c r="A63" s="349"/>
      <c r="B63" s="351" t="s">
        <v>266</v>
      </c>
      <c r="C63" s="352">
        <f>'3b-SalesForecastYrs1-3'!C49-('2b-PayrollYrs1-3'!$E$26/12)-'6b-CashFlowYrs1-3'!C19-'Amortization&amp;Depreciation'!C123-'Amortization&amp;Depreciation'!C19-'Amortization&amp;Depreciation'!C39-'Amortization&amp;Depreciation'!C59-'Amortization&amp;Depreciation'!C79-'Amortization&amp;Depreciation'!C99-'6b-CashFlowYrs1-3'!C25-$E$55/12</f>
        <v>54423.3231333333</v>
      </c>
      <c r="D63" s="401">
        <f>'3b-SalesForecastYrs1-3'!D49-('2b-PayrollYrs1-3'!$E$26/12)-'6b-CashFlowYrs1-3'!D19-'Amortization&amp;Depreciation'!D123-'Amortization&amp;Depreciation'!D19-'Amortization&amp;Depreciation'!D39-'Amortization&amp;Depreciation'!D59-'Amortization&amp;Depreciation'!D79-'Amortization&amp;Depreciation'!D99-'6b-CashFlowYrs1-3'!D25-$E$55/12</f>
        <v>56539.5831333333</v>
      </c>
      <c r="E63" s="352">
        <f>'3b-SalesForecastYrs1-3'!E49-('2b-PayrollYrs1-3'!$E$26/12)-'6b-CashFlowYrs1-3'!E19-'Amortization&amp;Depreciation'!E123-'Amortization&amp;Depreciation'!E19-'Amortization&amp;Depreciation'!E39-'Amortization&amp;Depreciation'!E59-'Amortization&amp;Depreciation'!E79-'Amortization&amp;Depreciation'!E99-'6b-CashFlowYrs1-3'!E25-$E$55/12</f>
        <v>58719.3309333333</v>
      </c>
      <c r="F63" s="352">
        <f>'3b-SalesForecastYrs1-3'!F49-('2b-PayrollYrs1-3'!$E$26/12)-'6b-CashFlowYrs1-3'!F19-'Amortization&amp;Depreciation'!F123-'Amortization&amp;Depreciation'!F19-'Amortization&amp;Depreciation'!F39-'Amortization&amp;Depreciation'!F59-'Amortization&amp;Depreciation'!F79-'Amortization&amp;Depreciation'!F99-'6b-CashFlowYrs1-3'!F25-$E$55/12</f>
        <v>60964.4711673333</v>
      </c>
      <c r="G63" s="352">
        <f>'3b-SalesForecastYrs1-3'!G49-('2b-PayrollYrs1-3'!$E$26/12)-'6b-CashFlowYrs1-3'!G19-'Amortization&amp;Depreciation'!G123-'Amortization&amp;Depreciation'!G19-'Amortization&amp;Depreciation'!G39-'Amortization&amp;Depreciation'!G59-'Amortization&amp;Depreciation'!G79-'Amortization&amp;Depreciation'!G99-'6b-CashFlowYrs1-3'!G25-$E$55/12</f>
        <v>63276.9656083533</v>
      </c>
      <c r="H63" s="401">
        <f>'3b-SalesForecastYrs1-3'!H49-('2b-PayrollYrs1-3'!$E$26/12)-'6b-CashFlowYrs1-3'!H19-'Amortization&amp;Depreciation'!H123-'Amortization&amp;Depreciation'!H19-'Amortization&amp;Depreciation'!H39-'Amortization&amp;Depreciation'!H59-'Amortization&amp;Depreciation'!H79-'Amortization&amp;Depreciation'!H99-'6b-CashFlowYrs1-3'!H25-$E$55/12</f>
        <v>65658.8348826043</v>
      </c>
      <c r="I63" s="352">
        <f>'3b-SalesForecastYrs1-3'!I49-('2b-PayrollYrs1-3'!$E$26/12)-'6b-CashFlowYrs1-3'!I19-'Amortization&amp;Depreciation'!I123-'Amortization&amp;Depreciation'!I19-'Amortization&amp;Depreciation'!I39-'Amortization&amp;Depreciation'!I59-'Amortization&amp;Depreciation'!I79-'Amortization&amp;Depreciation'!I99-'6b-CashFlowYrs1-3'!I25-$E$55/12</f>
        <v>68112.1602350817</v>
      </c>
      <c r="J63" s="352">
        <f>'3b-SalesForecastYrs1-3'!J49-('2b-PayrollYrs1-3'!$E$26/12)-'6b-CashFlowYrs1-3'!J19-'Amortization&amp;Depreciation'!J123-'Amortization&amp;Depreciation'!J19-'Amortization&amp;Depreciation'!J39-'Amortization&amp;Depreciation'!J59-'Amortization&amp;Depreciation'!J79-'Amortization&amp;Depreciation'!J99-'6b-CashFlowYrs1-3'!J25-$E$55/12</f>
        <v>70639.0853481343</v>
      </c>
      <c r="K63" s="352">
        <f>'3b-SalesForecastYrs1-3'!K49-('2b-PayrollYrs1-3'!$E$26/12)-'6b-CashFlowYrs1-3'!K19-'Amortization&amp;Depreciation'!K123-'Amortization&amp;Depreciation'!K19-'Amortization&amp;Depreciation'!K39-'Amortization&amp;Depreciation'!K59-'Amortization&amp;Depreciation'!K79-'Amortization&amp;Depreciation'!K99-'6b-CashFlowYrs1-3'!K25-$E$55/12</f>
        <v>73241.8182145789</v>
      </c>
      <c r="L63" s="352">
        <f>'3b-SalesForecastYrs1-3'!L49-('2b-PayrollYrs1-3'!$E$26/12)-'6b-CashFlowYrs1-3'!L19-'Amortization&amp;Depreciation'!L123-'Amortization&amp;Depreciation'!L19-'Amortization&amp;Depreciation'!L39-'Amortization&amp;Depreciation'!L59-'Amortization&amp;Depreciation'!L79-'Amortization&amp;Depreciation'!L99-'6b-CashFlowYrs1-3'!L25-$E$55/12</f>
        <v>75922.6330670163</v>
      </c>
      <c r="M63" s="352">
        <f>'3b-SalesForecastYrs1-3'!M49-('2b-PayrollYrs1-3'!$E$26/12)-'6b-CashFlowYrs1-3'!M19-'Amortization&amp;Depreciation'!M123-'Amortization&amp;Depreciation'!M19-'Amortization&amp;Depreciation'!M39-'Amortization&amp;Depreciation'!M59-'Amortization&amp;Depreciation'!M79-'Amortization&amp;Depreciation'!M99-'6b-CashFlowYrs1-3'!M25-$E$55/12</f>
        <v>78683.8723650265</v>
      </c>
      <c r="N63" s="352">
        <f>'3b-SalesForecastYrs1-3'!N49-('2b-PayrollYrs1-3'!$E$26/12)-'6b-CashFlowYrs1-3'!N19-'Amortization&amp;Depreciation'!N123-'Amortization&amp;Depreciation'!N19-'Amortization&amp;Depreciation'!N39-'Amortization&amp;Depreciation'!N59-'Amortization&amp;Depreciation'!N79-'Amortization&amp;Depreciation'!N99-'6b-CashFlowYrs1-3'!N25-$E$55/12</f>
        <v>81527.9488419765</v>
      </c>
      <c r="O63" s="352">
        <f t="shared" si="15" ref="O63:O69">SUM(C63:N63)</f>
        <v>807710.026930105</v>
      </c>
      <c r="P63" s="349"/>
      <c r="Q63" s="94"/>
    </row>
    <row r="64" ht="14.25" customHeight="1">
      <c r="A64" s="349"/>
      <c r="B64" s="351" t="s">
        <v>265</v>
      </c>
      <c r="C64" s="352">
        <f t="shared" si="16" ref="C64:C68">C63</f>
        <v>54423.3231333333</v>
      </c>
      <c r="D64" s="401">
        <f t="shared" si="14" ref="D64:N68">D63+C64</f>
        <v>110962.906266667</v>
      </c>
      <c r="E64" s="352">
        <f t="shared" si="14"/>
        <v>169682.2372</v>
      </c>
      <c r="F64" s="352">
        <f t="shared" si="14"/>
        <v>230646.708367333</v>
      </c>
      <c r="G64" s="352">
        <f t="shared" si="14"/>
        <v>293923.673975686</v>
      </c>
      <c r="H64" s="401">
        <f t="shared" si="14"/>
        <v>359582.50885829</v>
      </c>
      <c r="I64" s="352">
        <f t="shared" si="14"/>
        <v>427694.669093372</v>
      </c>
      <c r="J64" s="352">
        <f t="shared" si="14"/>
        <v>498333.754441506</v>
      </c>
      <c r="K64" s="352">
        <f t="shared" si="14"/>
        <v>571575.572656085</v>
      </c>
      <c r="L64" s="352">
        <f t="shared" si="14"/>
        <v>647498.205723101</v>
      </c>
      <c r="M64" s="352">
        <f t="shared" si="14"/>
        <v>726182.078088128</v>
      </c>
      <c r="N64" s="352">
        <f t="shared" si="14"/>
        <v>807710.026930104</v>
      </c>
      <c r="O64" s="352">
        <f t="shared" si="15"/>
        <v>4898215.66473361</v>
      </c>
      <c r="P64" s="349"/>
      <c r="Q64" s="94"/>
    </row>
    <row r="65" ht="12" customHeight="1">
      <c r="A65" s="349"/>
      <c r="B65" s="351" t="s">
        <v>267</v>
      </c>
      <c r="C65" s="352">
        <f>IF(C64&gt;0,C63*'4-AdditionalInputs'!$C$40,0)</f>
        <v>0</v>
      </c>
      <c r="D65" s="402">
        <f>IF(D64&gt;0,IF(C64&lt;0,(D63-ABS(C64))*'4-AdditionalInputs'!$C$40,D63*'4-AdditionalInputs'!$C$40),IF(C64&gt;0,-(C64*'4-AdditionalInputs'!$C$40),0))</f>
        <v>0</v>
      </c>
      <c r="E65" s="402">
        <f>IF(E64&gt;0,IF(D64&lt;0,(E63-ABS(D64))*'4-AdditionalInputs'!$C$40,E63*'4-AdditionalInputs'!$C$40),IF(D64&gt;0,-(D64*'4-AdditionalInputs'!$C$40),0))</f>
        <v>0</v>
      </c>
      <c r="F65" s="402">
        <f>IF(F64&gt;0,IF(E64&lt;0,(F63-ABS(E64))*'4-AdditionalInputs'!$C$40,F63*'4-AdditionalInputs'!$C$40),IF(E64&gt;0,-(E64*'4-AdditionalInputs'!$C$40),0))</f>
        <v>0</v>
      </c>
      <c r="G65" s="402">
        <f>IF(G64&gt;0,IF(F64&lt;0,(G63-ABS(F64))*'4-AdditionalInputs'!$C$40,G63*'4-AdditionalInputs'!$C$40),IF(F64&gt;0,-(F64*'4-AdditionalInputs'!$C$40),0))</f>
        <v>0</v>
      </c>
      <c r="H65" s="402">
        <f>IF(H64&gt;0,IF(G64&lt;0,(H63-ABS(G64))*'4-AdditionalInputs'!$C$40,H63*'4-AdditionalInputs'!$C$40),IF(G64&gt;0,-(G64*'4-AdditionalInputs'!$C$40),0))</f>
        <v>0</v>
      </c>
      <c r="I65" s="402">
        <f>IF(I64&gt;0,IF(H64&lt;0,(I63-ABS(H64))*'4-AdditionalInputs'!$C$40,I63*'4-AdditionalInputs'!$C$40),IF(H64&gt;0,-(H64*'4-AdditionalInputs'!$C$40),0))</f>
        <v>0</v>
      </c>
      <c r="J65" s="402">
        <f>IF(J64&gt;0,IF(I64&lt;0,(J63-ABS(I64))*'4-AdditionalInputs'!$C$40,J63*'4-AdditionalInputs'!$C$40),IF(I64&gt;0,-(I64*'4-AdditionalInputs'!$C$40),0))</f>
        <v>0</v>
      </c>
      <c r="K65" s="402">
        <f>IF(K64&gt;0,IF(J64&lt;0,(K63-ABS(J64))*'4-AdditionalInputs'!$C$40,K63*'4-AdditionalInputs'!$C$40),IF(J64&gt;0,-(J64*'4-AdditionalInputs'!$C$40),0))</f>
        <v>0</v>
      </c>
      <c r="L65" s="402">
        <f>IF(L64&gt;0,IF(K64&lt;0,(L63-ABS(K64))*'4-AdditionalInputs'!$C$40,L63*'4-AdditionalInputs'!$C$40),IF(K64&gt;0,-(K64*'4-AdditionalInputs'!$C$40),0))</f>
        <v>0</v>
      </c>
      <c r="M65" s="402">
        <f>IF(M64&gt;0,IF(L64&lt;0,(M63-ABS(L64))*'4-AdditionalInputs'!$C$40,M63*'4-AdditionalInputs'!$C$40),IF(L64&gt;0,-(L64*'4-AdditionalInputs'!$C$40),0))</f>
        <v>0</v>
      </c>
      <c r="N65" s="402">
        <f>IF(N64&gt;0,IF(M64&lt;0,(N63-ABS(M64))*'4-AdditionalInputs'!$C$40,N63*'4-AdditionalInputs'!$C$40),IF(M64&gt;0,-(M64*'4-AdditionalInputs'!$C$40),0))</f>
        <v>0</v>
      </c>
      <c r="O65" s="402">
        <f t="shared" si="15"/>
        <v>0</v>
      </c>
      <c r="P65" s="349"/>
      <c r="Q65" s="94"/>
    </row>
    <row r="66" ht="12" customHeight="1">
      <c r="A66" s="349"/>
      <c r="B66" s="349"/>
      <c r="C66" s="349"/>
      <c r="D66" s="397"/>
      <c r="E66" s="349"/>
      <c r="F66" s="398"/>
      <c r="G66" s="349"/>
      <c r="H66" s="397"/>
      <c r="I66" s="349"/>
      <c r="J66" s="349"/>
      <c r="K66" s="349"/>
      <c r="L66" s="349"/>
      <c r="M66" s="349"/>
      <c r="N66" s="349"/>
      <c r="O66" s="349"/>
      <c r="P66" s="349"/>
      <c r="Q66" s="94"/>
      <c r="R66" s="94"/>
      <c r="S66" s="94"/>
    </row>
    <row r="67" ht="14.25" customHeight="1">
      <c r="A67" s="349"/>
      <c r="B67" s="351" t="s">
        <v>268</v>
      </c>
      <c r="C67" s="352">
        <f>('3b-SalesForecastYrs1-3'!R49-('2b-PayrollYrs1-3'!$G$26/12)-'6b-CashFlowYrs1-3'!P19)-'Amortization&amp;Depreciation'!C127-'Amortization&amp;Depreciation'!C23-'Amortization&amp;Depreciation'!C43-'Amortization&amp;Depreciation'!C63-'Amortization&amp;Depreciation'!C83-'Amortization&amp;Depreciation'!C103-'6b-CashFlowYrs1-3'!P25-$G$55/12</f>
        <v>79375.3582819765</v>
      </c>
      <c r="D67" s="401">
        <f>('3b-SalesForecastYrs1-3'!S49-('2b-PayrollYrs1-3'!$G$26/12)-'6b-CashFlowYrs1-3'!Q19)-'Amortization&amp;Depreciation'!D127-'Amortization&amp;Depreciation'!D23-'Amortization&amp;Depreciation'!D43-'Amortization&amp;Depreciation'!D63-'Amortization&amp;Depreciation'!D83-'Amortization&amp;Depreciation'!D103-'6b-CashFlowYrs1-3'!Q25-$G$55/12</f>
        <v>81328.2907961495</v>
      </c>
      <c r="E67" s="352">
        <f>('3b-SalesForecastYrs1-3'!T49-('2b-PayrollYrs1-3'!$G$26/12)-'6b-CashFlowYrs1-3'!R19)-'Amortization&amp;Depreciation'!E127-'Amortization&amp;Depreciation'!E23-'Amortization&amp;Depreciation'!E43-'Amortization&amp;Depreciation'!E63-'Amortization&amp;Depreciation'!E83-'Amortization&amp;Depreciation'!E103-'6b-CashFlowYrs1-3'!R25-$G$55/12</f>
        <v>83320.2819606063</v>
      </c>
      <c r="F67" s="352">
        <f>('3b-SalesForecastYrs1-3'!U49-('2b-PayrollYrs1-3'!$G$26/12)-'6b-CashFlowYrs1-3'!S19)-'Amortization&amp;Depreciation'!F127-'Amortization&amp;Depreciation'!F23-'Amortization&amp;Depreciation'!F43-'Amortization&amp;Depreciation'!F63-'Amortization&amp;Depreciation'!F83-'Amortization&amp;Depreciation'!F103-'6b-CashFlowYrs1-3'!S25-$G$55/12</f>
        <v>85352.1129483523</v>
      </c>
      <c r="G67" s="352">
        <f>('3b-SalesForecastYrs1-3'!V49-('2b-PayrollYrs1-3'!$G$26/12)-'6b-CashFlowYrs1-3'!T19)-'Amortization&amp;Depreciation'!G127-'Amortization&amp;Depreciation'!G23-'Amortization&amp;Depreciation'!G43-'Amortization&amp;Depreciation'!G63-'Amortization&amp;Depreciation'!G83-'Amortization&amp;Depreciation'!G103-'6b-CashFlowYrs1-3'!T25-$G$55/12</f>
        <v>87424.5805558523</v>
      </c>
      <c r="H67" s="401">
        <f>('3b-SalesForecastYrs1-3'!W49-('2b-PayrollYrs1-3'!$G$26/12)-'6b-CashFlowYrs1-3'!U19)-'Amortization&amp;Depreciation'!H127-'Amortization&amp;Depreciation'!H23-'Amortization&amp;Depreciation'!H43-'Amortization&amp;Depreciation'!H63-'Amortization&amp;Depreciation'!H83-'Amortization&amp;Depreciation'!H103-'6b-CashFlowYrs1-3'!U25-$G$55/12</f>
        <v>89538.4975155033</v>
      </c>
      <c r="I67" s="352">
        <f>('3b-SalesForecastYrs1-3'!X49-('2b-PayrollYrs1-3'!$G$26/12)-'6b-CashFlowYrs1-3'!V19)-'Amortization&amp;Depreciation'!I127-'Amortization&amp;Depreciation'!I23-'Amortization&amp;Depreciation'!I43-'Amortization&amp;Depreciation'!I63-'Amortization&amp;Depreciation'!I83-'Amortization&amp;Depreciation'!I103-'6b-CashFlowYrs1-3'!V25-$G$55/12</f>
        <v>91694.6928143463</v>
      </c>
      <c r="J67" s="352">
        <f>('3b-SalesForecastYrs1-3'!Y49-('2b-PayrollYrs1-3'!$G$26/12)-'6b-CashFlowYrs1-3'!W19)-'Amortization&amp;Depreciation'!J127-'Amortization&amp;Depreciation'!J23-'Amortization&amp;Depreciation'!J43-'Amortization&amp;Depreciation'!J63-'Amortization&amp;Depreciation'!J83-'Amortization&amp;Depreciation'!J103-'6b-CashFlowYrs1-3'!W25-$G$55/12</f>
        <v>93894.0120191673</v>
      </c>
      <c r="K67" s="352">
        <f>('3b-SalesForecastYrs1-3'!Z49-('2b-PayrollYrs1-3'!$G$26/12)-'6b-CashFlowYrs1-3'!X19)-'Amortization&amp;Depreciation'!K127-'Amortization&amp;Depreciation'!K23-'Amortization&amp;Depreciation'!K43-'Amortization&amp;Depreciation'!K63-'Amortization&amp;Depreciation'!K83-'Amortization&amp;Depreciation'!K103-'6b-CashFlowYrs1-3'!X25-$G$55/12</f>
        <v>96137.3176080843</v>
      </c>
      <c r="L67" s="352">
        <f>('3b-SalesForecastYrs1-3'!AA49-('2b-PayrollYrs1-3'!$G$26/12)-'6b-CashFlowYrs1-3'!Y19)-'Amortization&amp;Depreciation'!L127-'Amortization&amp;Depreciation'!L23-'Amortization&amp;Depreciation'!L43-'Amortization&amp;Depreciation'!L63-'Amortization&amp;Depreciation'!L83-'Amortization&amp;Depreciation'!L103-'6b-CashFlowYrs1-3'!Y25-$G$55/12</f>
        <v>98425.4893087783</v>
      </c>
      <c r="M67" s="352">
        <f>('3b-SalesForecastYrs1-3'!AB49-('2b-PayrollYrs1-3'!$G$26/12)-'6b-CashFlowYrs1-3'!Z19)-'Amortization&amp;Depreciation'!M127-'Amortization&amp;Depreciation'!M23-'Amortization&amp;Depreciation'!M43-'Amortization&amp;Depreciation'!M63-'Amortization&amp;Depreciation'!M83-'Amortization&amp;Depreciation'!M103-'6b-CashFlowYrs1-3'!Z25-$G$55/12</f>
        <v>100759.424443487</v>
      </c>
      <c r="N67" s="352">
        <f>('3b-SalesForecastYrs1-3'!AC49-('2b-PayrollYrs1-3'!$G$26/12)-'6b-CashFlowYrs1-3'!AA19)-'Amortization&amp;Depreciation'!N127-'Amortization&amp;Depreciation'!N23-'Amortization&amp;Depreciation'!N43-'Amortization&amp;Depreciation'!N63-'Amortization&amp;Depreciation'!N83-'Amortization&amp;Depreciation'!N103-'6b-CashFlowYrs1-3'!AA25-$G$55/12</f>
        <v>103140.03828089</v>
      </c>
      <c r="O67" s="352">
        <f t="shared" si="15"/>
        <v>1090390.09653319</v>
      </c>
      <c r="P67" s="349"/>
      <c r="Q67" s="94"/>
      <c r="R67" s="94"/>
      <c r="S67" s="94"/>
    </row>
    <row r="68" ht="14.25" customHeight="1">
      <c r="A68" s="349"/>
      <c r="B68" s="351" t="s">
        <v>265</v>
      </c>
      <c r="C68" s="352">
        <f t="shared" si="16"/>
        <v>79375.3582819765</v>
      </c>
      <c r="D68" s="401">
        <f t="shared" si="14"/>
        <v>160703.649078126</v>
      </c>
      <c r="E68" s="352">
        <f t="shared" si="14"/>
        <v>244023.931038732</v>
      </c>
      <c r="F68" s="352">
        <f t="shared" si="14"/>
        <v>329376.043987084</v>
      </c>
      <c r="G68" s="352">
        <f t="shared" si="14"/>
        <v>416800.624542936</v>
      </c>
      <c r="H68" s="401">
        <f t="shared" si="14"/>
        <v>506339.122058439</v>
      </c>
      <c r="I68" s="352">
        <f t="shared" si="14"/>
        <v>598033.814872785</v>
      </c>
      <c r="J68" s="352">
        <f t="shared" si="14"/>
        <v>691927.826891952</v>
      </c>
      <c r="K68" s="352">
        <f t="shared" si="14"/>
        <v>788065.144500036</v>
      </c>
      <c r="L68" s="352">
        <f t="shared" si="14"/>
        <v>886490.633808814</v>
      </c>
      <c r="M68" s="352">
        <f t="shared" si="14"/>
        <v>987250.058252301</v>
      </c>
      <c r="N68" s="352">
        <f t="shared" si="14"/>
        <v>1090390.09653319</v>
      </c>
      <c r="O68" s="352">
        <f t="shared" si="15"/>
        <v>6778776.30384637</v>
      </c>
      <c r="P68" s="349"/>
      <c r="Q68" s="94"/>
      <c r="R68" s="94"/>
      <c r="S68" s="94"/>
    </row>
    <row r="69" ht="12" customHeight="1">
      <c r="A69" s="349"/>
      <c r="B69" s="351" t="s">
        <v>267</v>
      </c>
      <c r="C69" s="352">
        <f>IF(C68&gt;0,C67*'4-AdditionalInputs'!$C$41,0)</f>
        <v>0</v>
      </c>
      <c r="D69" s="402">
        <f>IF(D68&gt;0,IF(C68&lt;0,(D67-ABS(C68))*'4-AdditionalInputs'!$C$41,D67*'4-AdditionalInputs'!$C$41),IF(C68&gt;0,C68*'4-AdditionalInputs'!$C$41,0))</f>
        <v>0</v>
      </c>
      <c r="E69" s="402">
        <f>IF(E68&gt;0,IF(D68&lt;0,(E67-ABS(D68))*'4-AdditionalInputs'!$C$41,E67*'4-AdditionalInputs'!$C$41),IF(D68&gt;0,D68*'4-AdditionalInputs'!$C$41,0))</f>
        <v>0</v>
      </c>
      <c r="F69" s="402">
        <f>IF(F68&gt;0,IF(E68&lt;0,(F67-ABS(E68))*'4-AdditionalInputs'!$C$41,F67*'4-AdditionalInputs'!$C$41),IF(E68&gt;0,E68*'4-AdditionalInputs'!$C$41,0))</f>
        <v>0</v>
      </c>
      <c r="G69" s="402">
        <f>IF(G68&gt;0,IF(F68&lt;0,(G67-ABS(F68))*'4-AdditionalInputs'!$C$41,G67*'4-AdditionalInputs'!$C$41),IF(F68&gt;0,F68*'4-AdditionalInputs'!$C$41,0))</f>
        <v>0</v>
      </c>
      <c r="H69" s="402">
        <f>IF(H68&gt;0,IF(G68&lt;0,(H67-ABS(G68))*'4-AdditionalInputs'!$C$41,H67*'4-AdditionalInputs'!$C$41),IF(G68&gt;0,G68*'4-AdditionalInputs'!$C$41,0))</f>
        <v>0</v>
      </c>
      <c r="I69" s="402">
        <f>IF(I68&gt;0,IF(H68&lt;0,(I67-ABS(H68))*'4-AdditionalInputs'!$C$41,I67*'4-AdditionalInputs'!$C$41),IF(H68&gt;0,H68*'4-AdditionalInputs'!$C$41,0))</f>
        <v>0</v>
      </c>
      <c r="J69" s="402">
        <f>IF(J68&gt;0,IF(I68&lt;0,(J67-ABS(I68))*'4-AdditionalInputs'!$C$41,J67*'4-AdditionalInputs'!$C$41),IF(I68&gt;0,I68*'4-AdditionalInputs'!$C$41,0))</f>
        <v>0</v>
      </c>
      <c r="K69" s="402">
        <f>IF(K68&gt;0,IF(J68&lt;0,(K67-ABS(J68))*'4-AdditionalInputs'!$C$41,K67*'4-AdditionalInputs'!$C$41),IF(J68&gt;0,J68*'4-AdditionalInputs'!$C$41,0))</f>
        <v>0</v>
      </c>
      <c r="L69" s="402">
        <f>IF(L68&gt;0,IF(K68&lt;0,(L67-ABS(K68))*'4-AdditionalInputs'!$C$41,L67*'4-AdditionalInputs'!$C$41),IF(K68&gt;0,K68*'4-AdditionalInputs'!$C$41,0))</f>
        <v>0</v>
      </c>
      <c r="M69" s="402">
        <f>IF(M68&gt;0,IF(L68&lt;0,(M67-ABS(L68))*'4-AdditionalInputs'!$C$41,M67*'4-AdditionalInputs'!$C$41),IF(L68&gt;0,L68*'4-AdditionalInputs'!$C$41,0))</f>
        <v>0</v>
      </c>
      <c r="N69" s="402">
        <f>IF(N68&gt;0,IF(M68&lt;0,(N67-ABS(M68))*'4-AdditionalInputs'!$C$41,N67*'4-AdditionalInputs'!$C$41),IF(M68&gt;0,M68*'4-AdditionalInputs'!$C$41,0))</f>
        <v>0</v>
      </c>
      <c r="O69" s="352">
        <f t="shared" si="15"/>
        <v>0</v>
      </c>
      <c r="P69" s="349"/>
      <c r="Q69" s="94"/>
      <c r="R69" s="94"/>
      <c r="S69" s="94"/>
    </row>
    <row r="70" ht="12" customHeight="1">
      <c r="A70" s="349"/>
      <c r="B70" s="349"/>
      <c r="C70" s="403"/>
      <c r="D70" s="404"/>
      <c r="E70" s="403"/>
      <c r="F70" s="403"/>
      <c r="G70" s="403"/>
      <c r="H70" s="404"/>
      <c r="I70" s="403"/>
      <c r="J70" s="403"/>
      <c r="K70" s="403"/>
      <c r="L70" s="403"/>
      <c r="M70" s="403"/>
      <c r="N70" s="403"/>
      <c r="O70" s="403"/>
      <c r="P70" s="349"/>
      <c r="Q70" s="94"/>
      <c r="R70" s="94"/>
      <c r="S70" s="94"/>
    </row>
    <row r="71" ht="12" customHeight="1">
      <c r="A71" s="349"/>
      <c r="B71" s="349"/>
      <c r="C71" s="403"/>
      <c r="D71" s="404"/>
      <c r="E71" s="403"/>
      <c r="F71" s="403"/>
      <c r="G71" s="403"/>
      <c r="H71" s="404"/>
      <c r="I71" s="403"/>
      <c r="J71" s="403"/>
      <c r="K71" s="403"/>
      <c r="L71" s="403"/>
      <c r="M71" s="403"/>
      <c r="N71" s="403"/>
      <c r="O71" s="403"/>
      <c r="P71" s="349"/>
      <c r="Q71" s="94"/>
      <c r="R71" s="94"/>
      <c r="S71" s="94"/>
    </row>
    <row r="72" ht="12" customHeight="1">
      <c r="A72" s="349"/>
      <c r="B72" s="349"/>
      <c r="C72" s="403"/>
      <c r="D72" s="404"/>
      <c r="E72" s="403"/>
      <c r="F72" s="403"/>
      <c r="G72" s="403"/>
      <c r="H72" s="404"/>
      <c r="I72" s="403"/>
      <c r="J72" s="403"/>
      <c r="K72" s="403"/>
      <c r="L72" s="403"/>
      <c r="M72" s="403"/>
      <c r="N72" s="403"/>
      <c r="O72" s="403"/>
      <c r="P72" s="349"/>
      <c r="Q72" s="94"/>
      <c r="R72" s="94"/>
      <c r="S72" s="94"/>
    </row>
    <row r="73" ht="12" customHeight="1">
      <c r="A73" s="94"/>
      <c r="B73" s="349"/>
      <c r="C73" s="403"/>
      <c r="D73" s="405"/>
      <c r="E73" s="403"/>
      <c r="F73" s="403"/>
      <c r="G73" s="403"/>
      <c r="H73" s="404"/>
      <c r="I73" s="403"/>
      <c r="J73" s="403"/>
      <c r="K73" s="403"/>
      <c r="L73" s="403"/>
      <c r="M73" s="403"/>
      <c r="N73" s="403"/>
      <c r="O73" s="403"/>
      <c r="P73" s="349"/>
      <c r="Q73" s="94"/>
      <c r="R73" s="94"/>
      <c r="S73" s="94"/>
      <c r="T73" s="94"/>
      <c r="U73" s="94"/>
      <c r="V73" s="94"/>
      <c r="W73" s="94"/>
    </row>
    <row r="74" ht="12" customHeight="1">
      <c r="A74" s="94"/>
      <c r="B74" s="89"/>
      <c r="C74" s="89"/>
      <c r="D74" s="406"/>
      <c r="E74" s="89"/>
      <c r="F74" s="407"/>
      <c r="G74" s="89"/>
      <c r="H74" s="406"/>
      <c r="I74" s="89"/>
      <c r="J74" s="89"/>
      <c r="K74" s="89"/>
      <c r="L74" s="89"/>
      <c r="M74" s="89"/>
      <c r="N74" s="89"/>
      <c r="O74" s="89"/>
      <c r="P74" s="94"/>
      <c r="Q74" s="94"/>
      <c r="R74" s="94"/>
      <c r="S74" s="94"/>
      <c r="T74" s="94"/>
      <c r="U74" s="94"/>
      <c r="V74" s="94"/>
      <c r="W74" s="94"/>
    </row>
    <row r="75" ht="12" customHeight="1">
      <c r="A75" s="94"/>
      <c r="B75" s="94"/>
      <c r="C75" s="408"/>
      <c r="D75" s="408"/>
      <c r="E75" s="408"/>
      <c r="F75" s="408"/>
      <c r="G75" s="408"/>
      <c r="H75" s="408"/>
      <c r="I75" s="408"/>
      <c r="J75" s="408"/>
      <c r="K75" s="408"/>
      <c r="L75" s="408"/>
      <c r="M75" s="408"/>
      <c r="N75" s="408"/>
      <c r="O75" s="408"/>
      <c r="P75" s="94"/>
      <c r="Q75" s="94"/>
      <c r="R75" s="94"/>
      <c r="S75" s="94"/>
      <c r="T75" s="94"/>
      <c r="U75" s="94"/>
      <c r="V75" s="94"/>
      <c r="W75" s="94"/>
    </row>
    <row r="76" ht="12" customHeight="1">
      <c r="A76" s="94"/>
      <c r="B76" s="94"/>
      <c r="C76" s="409"/>
      <c r="D76" s="410"/>
      <c r="E76" s="409"/>
      <c r="F76" s="409"/>
      <c r="G76" s="409"/>
      <c r="H76" s="410"/>
      <c r="I76" s="409"/>
      <c r="J76" s="409"/>
      <c r="K76" s="409"/>
      <c r="L76" s="409"/>
      <c r="M76" s="409"/>
      <c r="N76" s="409"/>
      <c r="O76" s="409"/>
      <c r="P76" s="94"/>
      <c r="Q76" s="94"/>
      <c r="R76" s="94"/>
      <c r="S76" s="94"/>
      <c r="T76" s="94"/>
      <c r="U76" s="94"/>
      <c r="V76" s="94"/>
      <c r="W76" s="94"/>
    </row>
    <row r="77" ht="12" customHeight="1">
      <c r="A77" s="94"/>
      <c r="B77" s="94"/>
      <c r="C77" s="409"/>
      <c r="D77" s="410"/>
      <c r="E77" s="409"/>
      <c r="F77" s="409"/>
      <c r="G77" s="409"/>
      <c r="H77" s="410"/>
      <c r="I77" s="409"/>
      <c r="J77" s="409"/>
      <c r="K77" s="409"/>
      <c r="L77" s="409"/>
      <c r="M77" s="409"/>
      <c r="N77" s="409"/>
      <c r="O77" s="409"/>
      <c r="P77" s="94"/>
      <c r="Q77" s="94"/>
      <c r="R77" s="94"/>
      <c r="S77" s="94"/>
      <c r="T77" s="94"/>
      <c r="U77" s="94"/>
      <c r="V77" s="94"/>
      <c r="W77" s="94"/>
    </row>
    <row r="78" ht="12" customHeight="1">
      <c r="A78" s="94"/>
      <c r="B78" s="94"/>
      <c r="C78" s="409"/>
      <c r="D78" s="410"/>
      <c r="E78" s="409"/>
      <c r="F78" s="409"/>
      <c r="G78" s="409"/>
      <c r="H78" s="410"/>
      <c r="I78" s="409"/>
      <c r="J78" s="409"/>
      <c r="K78" s="409"/>
      <c r="L78" s="409"/>
      <c r="M78" s="409"/>
      <c r="N78" s="409"/>
      <c r="O78" s="409"/>
      <c r="P78" s="94"/>
      <c r="Q78" s="94"/>
      <c r="R78" s="94"/>
      <c r="S78" s="94"/>
      <c r="T78" s="94"/>
      <c r="U78" s="94"/>
      <c r="V78" s="94"/>
      <c r="W78" s="94"/>
    </row>
    <row r="79" ht="12" customHeight="1">
      <c r="A79" s="94"/>
      <c r="B79" s="94"/>
      <c r="C79" s="409"/>
      <c r="D79" s="411"/>
      <c r="E79" s="409"/>
      <c r="F79" s="409"/>
      <c r="G79" s="409"/>
      <c r="H79" s="410"/>
      <c r="I79" s="409"/>
      <c r="J79" s="409"/>
      <c r="K79" s="409"/>
      <c r="L79" s="409"/>
      <c r="M79" s="409"/>
      <c r="N79" s="409"/>
      <c r="O79" s="409"/>
      <c r="P79" s="94"/>
      <c r="Q79" s="94"/>
      <c r="R79" s="94"/>
      <c r="S79" s="94"/>
      <c r="T79" s="94"/>
      <c r="U79" s="94"/>
      <c r="V79" s="94"/>
      <c r="W79" s="94"/>
    </row>
    <row r="80" ht="12" customHeight="1">
      <c r="A80" s="94"/>
      <c r="B80" s="94"/>
      <c r="C80" s="94"/>
      <c r="D80" s="412"/>
      <c r="E80" s="94"/>
      <c r="F80" s="413"/>
      <c r="G80" s="94"/>
      <c r="H80" s="412"/>
      <c r="I80" s="94"/>
      <c r="J80" s="94"/>
      <c r="K80" s="94"/>
      <c r="L80" s="94"/>
      <c r="M80" s="94"/>
      <c r="N80" s="94"/>
      <c r="O80" s="94"/>
      <c r="P80" s="94"/>
      <c r="Q80" s="94"/>
      <c r="R80" s="94"/>
      <c r="S80" s="94"/>
      <c r="T80" s="94"/>
      <c r="U80" s="94"/>
      <c r="V80" s="94"/>
      <c r="W80" s="94"/>
    </row>
    <row r="81" ht="12" customHeight="1">
      <c r="A81" s="94"/>
      <c r="B81" s="94"/>
      <c r="C81" s="94"/>
      <c r="D81" s="412"/>
      <c r="E81" s="94"/>
      <c r="F81" s="413"/>
      <c r="G81" s="94"/>
      <c r="H81" s="412"/>
      <c r="I81" s="94"/>
      <c r="J81" s="94"/>
      <c r="K81" s="94"/>
      <c r="L81" s="94"/>
      <c r="M81" s="94"/>
      <c r="N81" s="94"/>
      <c r="O81" s="94"/>
      <c r="P81" s="94"/>
      <c r="Q81" s="94"/>
      <c r="R81" s="94"/>
      <c r="S81" s="94"/>
      <c r="T81" s="94"/>
      <c r="U81" s="94"/>
      <c r="V81" s="94"/>
      <c r="W81" s="94"/>
    </row>
    <row r="82" ht="12" customHeight="1">
      <c r="A82" s="94"/>
      <c r="B82" s="94"/>
      <c r="C82" s="94"/>
      <c r="D82" s="412"/>
      <c r="E82" s="94"/>
      <c r="F82" s="413"/>
      <c r="G82" s="94"/>
      <c r="H82" s="412"/>
      <c r="I82" s="94"/>
      <c r="J82" s="94"/>
      <c r="K82" s="94"/>
      <c r="L82" s="94"/>
      <c r="M82" s="94"/>
      <c r="N82" s="94"/>
      <c r="O82" s="94"/>
      <c r="P82" s="94"/>
      <c r="Q82" s="94"/>
      <c r="R82" s="94"/>
      <c r="S82" s="94"/>
    </row>
  </sheetData>
  <sheetProtection sheet="1" objects="1" formatColumns="0" formatRows="0" algorithmName="SHA-512" hashValue="+GEpJwFyMGaNy6pthjA/QCYrikSGRBLDD7o7V4L0vs2s38KviG98XI7qvcXTrE8ujC5qURbadCBwuDglSNwQNw==" saltValue="PHEQKbbkBq/9isVTiYgQ+w==" spinCount="100000"/>
  <mergeCells>
    <mergeCell ref="B2:C2"/>
    <mergeCell ref="I2:K3"/>
  </mergeCells>
  <conditionalFormatting sqref="C17:C21">
    <cfRule type="expression" dxfId="8" priority="5" stopIfTrue="1" text="null">
      <formula>ISERROR(C17)</formula>
    </cfRule>
  </conditionalFormatting>
  <conditionalFormatting sqref="C58 E58 G58">
    <cfRule type="expression" dxfId="5" priority="20" text="null">
      <formula>LEN(TRIM(C58))=0</formula>
    </cfRule>
  </conditionalFormatting>
  <conditionalFormatting sqref="C9:D9 F9 H9 C10:C13 C14:H15 C25:H42">
    <cfRule type="expression" dxfId="8" priority="30" stopIfTrue="1" text="null">
      <formula>ISERROR(C9)</formula>
    </cfRule>
  </conditionalFormatting>
  <conditionalFormatting sqref="E9:E13">
    <cfRule type="expression" dxfId="8" priority="4" stopIfTrue="1" text="null">
      <formula>ISERROR(E9)</formula>
    </cfRule>
  </conditionalFormatting>
  <conditionalFormatting sqref="E17:E21">
    <cfRule type="expression" dxfId="8" priority="2" stopIfTrue="1" text="null">
      <formula>ISERROR(E17)</formula>
    </cfRule>
  </conditionalFormatting>
  <conditionalFormatting sqref="G9:G13">
    <cfRule type="expression" dxfId="8" priority="3" stopIfTrue="1" text="null">
      <formula>ISERROR(G9)</formula>
    </cfRule>
  </conditionalFormatting>
  <conditionalFormatting sqref="G17:G21">
    <cfRule type="expression" dxfId="8" priority="1" stopIfTrue="1" text="null">
      <formula>ISERROR(G17)</formula>
    </cfRule>
  </conditionalFormatting>
  <printOptions horizontalCentered="1" verticalCentered="1"/>
  <pageMargins left="0.7" right="0.7" top="0.75" bottom="0.75" header="0.3" footer="0.3"/>
  <pageSetup useFirstPageNumber="1" paperSize="1" scale="58" pageOrder="downThenOver" orientation="landscape"/>
  <headerFooter scaleWithDoc="0">
    <oddHeader>&amp;L&amp;C&amp;"Gill Sans MT,Regular"&amp;12Income Statement Years 1-3&amp;R</oddHeader>
    <oddFooter>&amp;L&amp;"Gill Sans MT,Regular"&amp;12&amp;F&amp;C&amp;"Gill Sans MT,Regular"&amp;12&amp;A&amp;R&amp;"Gill Sans MT,Regular"&amp;12&amp;D &amp;T</oddFooter>
  </headerFooter>
  <legacyDrawing r:id="rId2"/>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BC83AA9-C278-DFC8-E9CE-526DFA23D7A6}" mc:Ignorable="x14ac xr xr2 xr3">
  <sheetPr>
    <tabColor rgb="FFFFC95B"/>
    <pageSetUpPr fitToPage="1"/>
  </sheetPr>
  <dimension ref="A1:GR50000"/>
  <sheetViews>
    <sheetView topLeftCell="A14" workbookViewId="0">
      <selection activeCell="D20" sqref="D20"/>
    </sheetView>
  </sheetViews>
  <sheetFormatPr defaultRowHeight="12" defaultColWidth="8.8515625" customHeight="1"/>
  <cols>
    <col min="1" max="2" style="95" width="3.8515625" customWidth="1"/>
    <col min="3" max="3" style="95" width="41.7109375" customWidth="1"/>
    <col min="4" max="4" style="95" width="15.00390625" customWidth="1"/>
    <col min="5" max="6" style="95" width="16.7109375" customWidth="1"/>
    <col min="7" max="8" style="95" width="8.8515625" customWidth="1"/>
  </cols>
  <sheetData>
    <row r="2" ht="12" customHeight="1">
      <c r="C2" s="93" t="s">
        <v>269</v>
      </c>
      <c r="D2" s="91"/>
      <c r="F2" s="252"/>
    </row>
    <row r="3" ht="12" customHeight="1">
      <c r="C3" s="91"/>
      <c r="D3" s="91"/>
      <c r="F3" s="252"/>
    </row>
    <row r="4" ht="17.25" customHeight="1">
      <c r="C4" s="93" t="s">
        <v>19</v>
      </c>
      <c r="D4" s="93" t="s">
        <v>20</v>
      </c>
      <c r="F4" s="252"/>
    </row>
    <row r="5" ht="12" customHeight="1">
      <c r="C5" s="141" t="str">
        <f>IF(ISBLANK(Directions!C10),"Owner",Directions!C10)</f>
        <v>Owner</v>
      </c>
      <c r="D5" s="141" t="str">
        <f>IF(ISBLANK(Directions!D10),"Company 1",Directions!D10)</f>
        <v>Company 1</v>
      </c>
      <c r="F5" s="252"/>
    </row>
    <row r="6" ht="12" customHeight="1">
      <c r="F6" s="252"/>
    </row>
    <row r="7" ht="14.25" customHeight="1">
      <c r="C7" s="96" t="s">
        <v>270</v>
      </c>
      <c r="D7" s="96" t="str">
        <f>IF(Directions!F10&gt;0,Directions!F10,"First Year")</f>
        <v>First Year</v>
      </c>
      <c r="E7" s="96" t="str">
        <f>IF(Directions!F10&gt;0,Directions!F10+1,"Second Year")</f>
        <v>Second Year</v>
      </c>
      <c r="F7" s="96" t="str">
        <f>IF(Directions!F10&gt;0,Directions!F10+2,"Third Year")</f>
        <v>Third Year</v>
      </c>
    </row>
    <row r="8" ht="12.75" customHeight="1">
      <c r="C8" s="98" t="s">
        <v>271</v>
      </c>
      <c r="D8" s="416"/>
      <c r="E8" s="416"/>
      <c r="F8" s="416"/>
    </row>
    <row r="9" ht="13.5" customHeight="1">
      <c r="C9" s="331" t="s">
        <v>71</v>
      </c>
      <c r="D9" s="151">
        <f>Y1EndingCashBal</f>
        <v>219424.398</v>
      </c>
      <c r="E9" s="151">
        <f>'6b-CashFlowYrs1-3'!N32</f>
        <v>1027134.4249301</v>
      </c>
      <c r="F9" s="151">
        <f>'6b-CashFlowYrs1-3'!AA32</f>
        <v>2117524.5214633</v>
      </c>
    </row>
    <row r="10" ht="13.5" customHeight="1">
      <c r="C10" s="331" t="s">
        <v>272</v>
      </c>
      <c r="D10" s="151">
        <f>+'7a-IncomeStatementYear1'!O15-'6a-CashFlowYear1'!O12-'7a-IncomeStatementYear1'!O56</f>
        <v>0</v>
      </c>
      <c r="E10" s="151">
        <f>+D10+'7b-IncomeStatementYrs1-3'!E14-'6b-CashFlowYrs1-3'!O11-'7b-IncomeStatementYrs1-3'!E55</f>
        <v>-1.00117176771164e-8</v>
      </c>
      <c r="F10" s="151">
        <f>+E10+'7b-IncomeStatementYrs1-3'!G14-'6b-CashFlowYrs1-3'!AB11-'7b-IncomeStatementYrs1-3'!G55</f>
        <v>-1.00117176771164e-8</v>
      </c>
    </row>
    <row r="11" ht="12" customHeight="1">
      <c r="C11" s="331" t="s">
        <v>39</v>
      </c>
      <c r="D11" s="151">
        <f>+Inventory+'6a-CashFlowYear1'!O17</f>
        <v>0</v>
      </c>
      <c r="E11" s="151">
        <f>+D11+'6b-CashFlowYrs1-3'!O16</f>
        <v>0</v>
      </c>
      <c r="F11" s="151">
        <f>+E11+'6b-CashFlowYrs1-3'!AB16</f>
        <v>0</v>
      </c>
    </row>
    <row r="12" ht="12" customHeight="1">
      <c r="C12" s="331" t="s">
        <v>273</v>
      </c>
      <c r="D12" s="151">
        <f>+'Amortization&amp;Depreciation'!C132-'Amortization&amp;Depreciation'!C133</f>
        <v>0</v>
      </c>
      <c r="E12" s="151">
        <f>+D12-'Amortization&amp;Depreciation'!C133</f>
        <v>0</v>
      </c>
      <c r="F12" s="151">
        <f>+E12-'Amortization&amp;Depreciation'!C133</f>
        <v>0</v>
      </c>
    </row>
    <row r="13" ht="12" customHeight="1">
      <c r="C13" s="331" t="s">
        <v>274</v>
      </c>
      <c r="D13" s="151">
        <f>+OtherStartUp-'Amortization&amp;Depreciation'!C135</f>
        <v>0</v>
      </c>
      <c r="E13" s="151">
        <f>+D13-'Amortization&amp;Depreciation'!C135</f>
        <v>0</v>
      </c>
      <c r="F13" s="151">
        <f>+E13-'Amortization&amp;Depreciation'!C135</f>
        <v>0</v>
      </c>
    </row>
    <row r="14" ht="13.5" customHeight="1">
      <c r="C14" s="300" t="s">
        <v>275</v>
      </c>
      <c r="D14" s="161">
        <f t="shared" si="0" ref="D14:F14">SUM(D9:D13)</f>
        <v>219424.398</v>
      </c>
      <c r="E14" s="161">
        <f t="shared" si="0"/>
        <v>1027134.42493009</v>
      </c>
      <c r="F14" s="161">
        <f t="shared" si="0"/>
        <v>2117524.52146329</v>
      </c>
    </row>
    <row r="15" ht="12" customHeight="1">
      <c r="C15" s="342"/>
      <c r="D15" s="417"/>
      <c r="E15" s="417"/>
      <c r="F15" s="417"/>
    </row>
    <row r="16" ht="12" customHeight="1">
      <c r="C16" s="342" t="s">
        <v>23</v>
      </c>
      <c r="D16" s="417"/>
      <c r="E16" s="417"/>
      <c r="F16" s="417"/>
    </row>
    <row r="17" ht="12" customHeight="1">
      <c r="C17" s="418" t="s">
        <v>276</v>
      </c>
      <c r="D17" s="151">
        <f t="shared" si="1" ref="D17:F17">Land</f>
        <v>0</v>
      </c>
      <c r="E17" s="151">
        <f t="shared" si="1"/>
        <v>0</v>
      </c>
      <c r="F17" s="151">
        <f t="shared" si="1"/>
        <v>0</v>
      </c>
    </row>
    <row r="18" ht="12" customHeight="1">
      <c r="C18" s="418" t="s">
        <v>277</v>
      </c>
      <c r="D18" s="151">
        <f>+'4-AdditionalInputs'!P29</f>
        <v>0</v>
      </c>
      <c r="E18" s="151">
        <f>+'4-AdditionalInputs'!P29+'4-AdditionalInputs'!Q29</f>
        <v>0</v>
      </c>
      <c r="F18" s="151">
        <f>+'4-AdditionalInputs'!P29+'4-AdditionalInputs'!Q29+'4-AdditionalInputs'!R29</f>
        <v>0</v>
      </c>
    </row>
    <row r="19" ht="12" customHeight="1">
      <c r="C19" s="418" t="s">
        <v>30</v>
      </c>
      <c r="D19" s="151">
        <f>+'4-AdditionalInputs'!P30</f>
        <v>0</v>
      </c>
      <c r="E19" s="151">
        <f>+'4-AdditionalInputs'!P30+'4-AdditionalInputs'!Q30</f>
        <v>0</v>
      </c>
      <c r="F19" s="151">
        <f>+'4-AdditionalInputs'!P30+'4-AdditionalInputs'!Q30+'4-AdditionalInputs'!R30</f>
        <v>0</v>
      </c>
    </row>
    <row r="20" ht="12" customHeight="1">
      <c r="C20" s="418" t="s">
        <v>31</v>
      </c>
      <c r="D20" s="151">
        <f>+'4-AdditionalInputs'!P31</f>
        <v>0</v>
      </c>
      <c r="E20" s="151">
        <f>+'4-AdditionalInputs'!P31+'4-AdditionalInputs'!Q31</f>
        <v>0</v>
      </c>
      <c r="F20" s="151">
        <f>+'4-AdditionalInputs'!P31+'4-AdditionalInputs'!Q31+'4-AdditionalInputs'!R31</f>
        <v>0</v>
      </c>
    </row>
    <row r="21" ht="12" customHeight="1">
      <c r="C21" s="418" t="s">
        <v>32</v>
      </c>
      <c r="D21" s="151">
        <f>+'4-AdditionalInputs'!P32</f>
        <v>0</v>
      </c>
      <c r="E21" s="151">
        <f>+'4-AdditionalInputs'!P32+'4-AdditionalInputs'!Q32</f>
        <v>0</v>
      </c>
      <c r="F21" s="151">
        <f>+'4-AdditionalInputs'!P32+'4-AdditionalInputs'!Q32+'4-AdditionalInputs'!R32</f>
        <v>0</v>
      </c>
    </row>
    <row r="22" ht="12" customHeight="1">
      <c r="C22" s="418" t="s">
        <v>33</v>
      </c>
      <c r="D22" s="151">
        <f>+'4-AdditionalInputs'!P33</f>
        <v>0</v>
      </c>
      <c r="E22" s="151">
        <f>+'4-AdditionalInputs'!P33+'4-AdditionalInputs'!Q33</f>
        <v>0</v>
      </c>
      <c r="F22" s="151">
        <f>+'4-AdditionalInputs'!P33+'4-AdditionalInputs'!Q33+'4-AdditionalInputs'!R33</f>
        <v>0</v>
      </c>
    </row>
    <row r="23" ht="12" customHeight="1">
      <c r="C23" s="418" t="s">
        <v>278</v>
      </c>
      <c r="D23" s="151">
        <f>+'4-AdditionalInputs'!P34</f>
        <v>0</v>
      </c>
      <c r="E23" s="151">
        <f>+'4-AdditionalInputs'!P34+'4-AdditionalInputs'!Q34</f>
        <v>0</v>
      </c>
      <c r="F23" s="151">
        <f>+'4-AdditionalInputs'!P34+'4-AdditionalInputs'!Q34+'4-AdditionalInputs'!R34</f>
        <v>0</v>
      </c>
    </row>
    <row r="24" ht="12" customHeight="1">
      <c r="C24" s="232" t="s">
        <v>35</v>
      </c>
      <c r="D24" s="161">
        <f t="shared" si="2" ref="D24:F37">SUM(D17:D23)</f>
        <v>0</v>
      </c>
      <c r="E24" s="161">
        <f t="shared" si="2"/>
        <v>0</v>
      </c>
      <c r="F24" s="161">
        <f t="shared" si="2"/>
        <v>0</v>
      </c>
    </row>
    <row r="25" ht="12" customHeight="1">
      <c r="C25" s="342" t="s">
        <v>279</v>
      </c>
      <c r="D25" s="154">
        <f>'Amortization&amp;Depreciation'!O119</f>
        <v>0</v>
      </c>
      <c r="E25" s="154">
        <f>+D25+'Amortization&amp;Depreciation'!O123</f>
        <v>0</v>
      </c>
      <c r="F25" s="154">
        <f>E25+'Amortization&amp;Depreciation'!O127</f>
        <v>0</v>
      </c>
    </row>
    <row r="26" ht="13.5" customHeight="1">
      <c r="C26" s="419" t="s">
        <v>280</v>
      </c>
      <c r="D26" s="154">
        <f t="shared" si="3" ref="D26:F26">INT(D24+D14-D25)</f>
        <v>219424</v>
      </c>
      <c r="E26" s="154">
        <f t="shared" si="3"/>
        <v>1027134</v>
      </c>
      <c r="F26" s="154">
        <f t="shared" si="3"/>
        <v>2117524</v>
      </c>
    </row>
    <row r="27" ht="12" customHeight="1">
      <c r="C27" s="342"/>
      <c r="D27" s="417"/>
      <c r="E27" s="417"/>
      <c r="F27" s="417"/>
    </row>
    <row r="28" ht="14.25" customHeight="1">
      <c r="C28" s="96" t="s">
        <v>281</v>
      </c>
      <c r="D28" s="96"/>
      <c r="E28" s="96"/>
      <c r="F28" s="96"/>
    </row>
    <row r="29" ht="12.75" customHeight="1">
      <c r="C29" s="420" t="s">
        <v>282</v>
      </c>
      <c r="D29" s="421"/>
      <c r="E29" s="421"/>
      <c r="F29" s="421"/>
    </row>
    <row r="30" ht="12" customHeight="1">
      <c r="C30" s="418" t="s">
        <v>283</v>
      </c>
      <c r="D30" s="151">
        <f>+'7a-IncomeStatementYear1'!O23-'6a-CashFlowYear1'!O18</f>
        <v>0</v>
      </c>
      <c r="E30" s="151">
        <f>+D30+'7b-IncomeStatementYrs1-3'!E22-'6b-CashFlowYrs1-3'!O17</f>
        <v>0</v>
      </c>
      <c r="F30" s="151">
        <f>+E30+'7b-IncomeStatementYrs1-3'!G22-'6b-CashFlowYrs1-3'!AB17</f>
        <v>0</v>
      </c>
    </row>
    <row r="31" ht="12" customHeight="1">
      <c r="C31" s="418" t="s">
        <v>284</v>
      </c>
      <c r="D31" s="151">
        <f>+'Amortization&amp;Depreciation'!N17</f>
        <v>0</v>
      </c>
      <c r="E31" s="151">
        <f>+'Amortization&amp;Depreciation'!N21</f>
        <v>0</v>
      </c>
      <c r="F31" s="151">
        <f>+'Amortization&amp;Depreciation'!N25</f>
        <v>0</v>
      </c>
      <c r="G31" s="422"/>
      <c r="H31" s="422"/>
    </row>
    <row r="32" ht="12" customHeight="1">
      <c r="C32" s="418" t="s">
        <v>285</v>
      </c>
      <c r="D32" s="149">
        <f>+'Amortization&amp;Depreciation'!N37</f>
        <v>0</v>
      </c>
      <c r="E32" s="149">
        <f>+'Amortization&amp;Depreciation'!N41</f>
        <v>0</v>
      </c>
      <c r="F32" s="149">
        <f>+'Amortization&amp;Depreciation'!N45</f>
        <v>0</v>
      </c>
      <c r="G32" s="422"/>
      <c r="H32" s="422"/>
    </row>
    <row r="33" ht="12" customHeight="1">
      <c r="C33" s="418" t="s">
        <v>286</v>
      </c>
      <c r="D33" s="149">
        <f>+'Amortization&amp;Depreciation'!N57</f>
        <v>0</v>
      </c>
      <c r="E33" s="149">
        <f>+'Amortization&amp;Depreciation'!N61</f>
        <v>0</v>
      </c>
      <c r="F33" s="149">
        <f>+'Amortization&amp;Depreciation'!N65</f>
        <v>0</v>
      </c>
      <c r="G33" s="422"/>
      <c r="H33" s="422"/>
    </row>
    <row r="34" ht="12" customHeight="1">
      <c r="C34" s="418" t="s">
        <v>287</v>
      </c>
      <c r="D34" s="149">
        <f>+'Amortization&amp;Depreciation'!N77</f>
        <v>0</v>
      </c>
      <c r="E34" s="149">
        <f>+'Amortization&amp;Depreciation'!N81</f>
        <v>0</v>
      </c>
      <c r="F34" s="149">
        <f>+'Amortization&amp;Depreciation'!N85</f>
        <v>0</v>
      </c>
      <c r="G34" s="422"/>
      <c r="H34" s="422"/>
    </row>
    <row r="35" ht="12" customHeight="1">
      <c r="C35" s="418" t="s">
        <v>288</v>
      </c>
      <c r="D35" s="149">
        <f>+'Amortization&amp;Depreciation'!N97</f>
        <v>0</v>
      </c>
      <c r="E35" s="149">
        <f>+'Amortization&amp;Depreciation'!N101</f>
        <v>0</v>
      </c>
      <c r="F35" s="149">
        <f>+'Amortization&amp;Depreciation'!N105</f>
        <v>0</v>
      </c>
      <c r="G35" s="422"/>
      <c r="H35" s="422"/>
    </row>
    <row r="36" ht="12" customHeight="1">
      <c r="C36" s="418" t="s">
        <v>245</v>
      </c>
      <c r="D36" s="149">
        <f>+'6a-CashFlowYear1'!N34</f>
        <v>0</v>
      </c>
      <c r="E36" s="149">
        <f>+'6b-CashFlowYrs1-3'!N33</f>
        <v>0</v>
      </c>
      <c r="F36" s="149">
        <f>+'6b-CashFlowYrs1-3'!AA33</f>
        <v>0</v>
      </c>
      <c r="G36" s="422"/>
      <c r="H36" s="422"/>
    </row>
    <row r="37" ht="12" customHeight="1">
      <c r="C37" s="232" t="s">
        <v>289</v>
      </c>
      <c r="D37" s="423">
        <f t="shared" si="2"/>
        <v>0</v>
      </c>
      <c r="E37" s="423">
        <f t="shared" si="2"/>
        <v>0</v>
      </c>
      <c r="F37" s="423">
        <f t="shared" si="2"/>
        <v>0</v>
      </c>
    </row>
    <row r="38" ht="12" customHeight="1">
      <c r="C38" s="342" t="s">
        <v>290</v>
      </c>
      <c r="D38" s="417"/>
      <c r="E38" s="417"/>
      <c r="F38" s="417"/>
    </row>
    <row r="39" ht="12" customHeight="1">
      <c r="C39" s="418" t="s">
        <v>291</v>
      </c>
      <c r="D39" s="151">
        <f t="shared" si="4" ref="D39:F39">OwnerEquity+OutsideInvest</f>
        <v>0</v>
      </c>
      <c r="E39" s="151">
        <f t="shared" si="4"/>
        <v>0</v>
      </c>
      <c r="F39" s="151">
        <f t="shared" si="4"/>
        <v>0</v>
      </c>
    </row>
    <row r="40" ht="13.5" customHeight="1">
      <c r="C40" s="418" t="s">
        <v>292</v>
      </c>
      <c r="D40" s="151">
        <f>'7b-IncomeStatementYrs1-3'!C59</f>
        <v>219424.398</v>
      </c>
      <c r="E40" s="151">
        <f>D40+NetIncomeY2</f>
        <v>1027134.4249301</v>
      </c>
      <c r="F40" s="151">
        <f>E40+NetIncomeY3</f>
        <v>2117524.5214633</v>
      </c>
    </row>
    <row r="41" ht="12" customHeight="1">
      <c r="C41" s="418" t="s">
        <v>293</v>
      </c>
      <c r="D41" s="151">
        <f>'6a-CashFlowYear1'!O28+'6a-CashFlowYear1'!O25</f>
        <v>0</v>
      </c>
      <c r="E41" s="151">
        <f>+D41+'6b-CashFlowYrs1-3'!O27+'6b-CashFlowYrs1-3'!O24</f>
        <v>0</v>
      </c>
      <c r="F41" s="151">
        <f>+E41+'6b-CashFlowYrs1-3'!AB27+'6b-CashFlowYrs1-3'!AB24</f>
        <v>0</v>
      </c>
    </row>
    <row r="42" ht="13.5" customHeight="1">
      <c r="C42" s="232" t="s">
        <v>294</v>
      </c>
      <c r="D42" s="161">
        <f t="shared" si="5" ref="D42:F42">+D39+D40-D41</f>
        <v>219424.398</v>
      </c>
      <c r="E42" s="161">
        <f t="shared" si="5"/>
        <v>1027134.4249301</v>
      </c>
      <c r="F42" s="161">
        <f t="shared" si="5"/>
        <v>2117524.5214633</v>
      </c>
    </row>
    <row r="43" ht="13.5" customHeight="1">
      <c r="C43" s="329" t="s">
        <v>295</v>
      </c>
      <c r="D43" s="154">
        <f t="shared" si="6" ref="D43:F43">INT(D37+D42)</f>
        <v>219424</v>
      </c>
      <c r="E43" s="154">
        <f t="shared" si="6"/>
        <v>1027134</v>
      </c>
      <c r="F43" s="154">
        <f t="shared" si="6"/>
        <v>2117524</v>
      </c>
    </row>
    <row r="44" ht="12" customHeight="1">
      <c r="C44" s="105"/>
      <c r="D44" s="424"/>
      <c r="E44" s="424"/>
      <c r="F44" s="424"/>
    </row>
    <row r="45" ht="12" customHeight="1">
      <c r="C45" s="425" t="s">
        <v>296</v>
      </c>
      <c r="D45" s="154">
        <f t="shared" si="7" ref="D45:F45">D26-D43</f>
        <v>0</v>
      </c>
      <c r="E45" s="154">
        <f t="shared" si="7"/>
        <v>0</v>
      </c>
      <c r="F45" s="154">
        <f t="shared" si="7"/>
        <v>0</v>
      </c>
    </row>
    <row r="46" ht="12" customHeight="1">
      <c r="C46" s="425"/>
      <c r="D46" s="134" t="str">
        <f>IF(D45=0,"Balanced!","Warning: Not Balanced")</f>
        <v>Balanced!</v>
      </c>
      <c r="E46" s="134" t="str">
        <f>IF(E45=0,"Balanced!","Warning: Not Balanced")</f>
        <v>Balanced!</v>
      </c>
      <c r="F46" s="134" t="str">
        <f>IF(F45=0,"Balanced!","Warning: Not Balanced")</f>
        <v>Balanced!</v>
      </c>
    </row>
  </sheetData>
  <sheetProtection sheet="1" objects="1" formatColumns="0" formatRows="0" algorithmName="SHA-512" hashValue="k8+/nrYyXAWWNcUXGYNRZbsg6gfp8pFIOYLSsG4vhx3IQpczD94BKe6WGY4K35Zvqr3ThNqLDAVEiDbOazJueg==" saltValue="1if5JhEy2yKLPbiMg+62Lw==" spinCount="100000"/>
  <mergeCells>
    <mergeCell ref="C45:C46"/>
  </mergeCells>
  <conditionalFormatting sqref="D9:F14">
    <cfRule type="expression" dxfId="8" priority="4" stopIfTrue="1" text="null">
      <formula>ISERROR(D9)</formula>
    </cfRule>
  </conditionalFormatting>
  <conditionalFormatting sqref="D17:F26">
    <cfRule type="expression" dxfId="8" priority="9" stopIfTrue="1" text="null">
      <formula>ISERROR(D17)</formula>
    </cfRule>
  </conditionalFormatting>
  <conditionalFormatting sqref="D30:F31">
    <cfRule type="expression" dxfId="8" priority="3" stopIfTrue="1" text="null">
      <formula>ISERROR(D30)</formula>
    </cfRule>
  </conditionalFormatting>
  <conditionalFormatting sqref="D32:F37">
    <cfRule type="cellIs" dxfId="9" priority="33" stopIfTrue="1" operator="equal" text="null">
      <formula>#DIV/0!</formula>
    </cfRule>
  </conditionalFormatting>
  <conditionalFormatting sqref="D32:F37">
    <cfRule type="expression" dxfId="10" priority="34" stopIfTrue="1" text="null">
      <formula>LEN(TRIM(D32))&gt;0</formula>
    </cfRule>
  </conditionalFormatting>
  <conditionalFormatting sqref="D32:F37">
    <cfRule type="expression" dxfId="4" priority="35" stopIfTrue="1" text="null">
      <formula>LEN(TRIM(D32))=0</formula>
    </cfRule>
  </conditionalFormatting>
  <conditionalFormatting sqref="D43:F43">
    <cfRule type="expression" dxfId="8" priority="14" stopIfTrue="1" text="null">
      <formula>ISERROR(D43)</formula>
    </cfRule>
  </conditionalFormatting>
  <conditionalFormatting sqref="D45:F45">
    <cfRule type="expression" dxfId="8" priority="13" stopIfTrue="1" text="null">
      <formula>ISERROR(D45)</formula>
    </cfRule>
  </conditionalFormatting>
  <conditionalFormatting sqref="D46:F46">
    <cfRule type="containsText" dxfId="11" priority="1" operator="containsText" text="Warning:">
      <formula>NOT(ISERROR(SEARCH("Warning:",D46)))</formula>
    </cfRule>
  </conditionalFormatting>
  <printOptions horizontalCentered="1" verticalCentered="1"/>
  <pageMargins left="0.25" right="0.25" top="0.75" bottom="0.75" header="0.3" footer="0.3"/>
  <pageSetup useFirstPageNumber="1" paperSize="1" scale="81" pageOrder="downThenOver" orientation="landscape"/>
  <headerFooter scaleWithDoc="0">
    <oddHeader>&amp;L&amp;C&amp;"Gill Sans MT,Regular"&amp;12Balance Sheet Years 1-3&amp;R</oddHeader>
    <oddFooter>&amp;L&amp;"Gill Sans MT,Regular"&amp;12&amp;F&amp;C&amp;"Gill Sans MT,Regular"&amp;12&amp;A&amp;R&amp;"Gill Sans MT,Regular"&amp;12&amp;D &amp;T</oddFooter>
  </headerFooter>
  <rowBreaks count="1" manualBreakCount="1">
    <brk id="43" man="1" max="1048576"/>
  </rowBreaks>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4EB1CD8-8F75-8D28-DDA8-CFD5B592EE88}" mc:Ignorable="x14ac xr xr2 xr3">
  <sheetPr>
    <tabColor rgb="FF339966"/>
    <pageSetUpPr fitToPage="1"/>
  </sheetPr>
  <dimension ref="A1:GR50000"/>
  <sheetViews>
    <sheetView topLeftCell="A1" workbookViewId="0">
      <selection activeCell="C9" sqref="C9"/>
    </sheetView>
  </sheetViews>
  <sheetFormatPr defaultRowHeight="12" defaultColWidth="9.140625" customHeight="1"/>
  <cols>
    <col min="1" max="1" style="94" width="9.140625" customWidth="1"/>
    <col min="2" max="2" style="94" width="36.57421875" customWidth="1"/>
    <col min="3" max="3" style="94" width="17.00390625" customWidth="1"/>
    <col min="4" max="4" style="152" width="14.8515625" customWidth="1"/>
    <col min="5" max="11" style="94" width="9.140625" customWidth="1"/>
  </cols>
  <sheetData>
    <row r="1" ht="12" customHeight="1">
      <c r="D1" s="152"/>
    </row>
    <row r="2" ht="12" customHeight="1">
      <c r="B2" s="173" t="s">
        <v>298</v>
      </c>
      <c r="D2" s="152"/>
      <c r="E2" s="426"/>
      <c r="F2" s="426"/>
      <c r="G2" s="426"/>
    </row>
    <row r="3" ht="12" customHeight="1">
      <c r="B3" s="427"/>
      <c r="D3" s="152"/>
      <c r="E3" s="426"/>
      <c r="F3" s="426"/>
      <c r="G3" s="426"/>
    </row>
    <row r="4" ht="12" customHeight="1">
      <c r="B4" s="173" t="s">
        <v>19</v>
      </c>
      <c r="C4" s="89" t="s">
        <v>20</v>
      </c>
      <c r="D4" s="152"/>
    </row>
    <row r="5" ht="12" customHeight="1">
      <c r="B5" s="94" t="str">
        <f>IF(ISBLANK(Directions!C10),"Owner",Directions!C10)</f>
        <v>Owner</v>
      </c>
      <c r="C5" s="94" t="str">
        <f>IF(ISBLANK(Directions!D10),"Company 1",Directions!D10)</f>
        <v>Company 1</v>
      </c>
      <c r="D5" s="94"/>
    </row>
    <row r="6" ht="12" customHeight="1">
      <c r="D6" s="94"/>
    </row>
    <row r="7" ht="12" customHeight="1">
      <c r="B7" s="428"/>
      <c r="C7" s="429"/>
      <c r="D7" s="94"/>
    </row>
    <row r="8" ht="12.75" customHeight="1">
      <c r="B8" s="96" t="s">
        <v>299</v>
      </c>
      <c r="C8" s="96"/>
      <c r="D8" s="94"/>
    </row>
    <row r="9" ht="13.5" customHeight="1">
      <c r="B9" s="392" t="s">
        <v>250</v>
      </c>
      <c r="C9" s="430">
        <f>'7b-IncomeStatementYrs1-3'!C23</f>
        <v>396072</v>
      </c>
      <c r="D9" s="94"/>
    </row>
    <row r="10" ht="13.5" customHeight="1">
      <c r="B10" s="331" t="s">
        <v>132</v>
      </c>
      <c r="C10" s="131">
        <f>'7b-IncomeStatementYrs1-3'!C14</f>
        <v>611712</v>
      </c>
      <c r="D10" s="94"/>
    </row>
    <row r="11" ht="13.5" customHeight="1">
      <c r="B11" s="114" t="s">
        <v>300</v>
      </c>
      <c r="C11" s="431">
        <f>IF(C10&gt;0,C9/C10,0)</f>
        <v>0.647481167608286</v>
      </c>
      <c r="D11" s="94"/>
    </row>
    <row r="12" ht="12.75" customHeight="1">
      <c r="B12" s="96" t="s">
        <v>301</v>
      </c>
      <c r="C12" s="96"/>
      <c r="D12" s="432"/>
      <c r="E12" s="141"/>
    </row>
    <row r="13" ht="13.5" customHeight="1">
      <c r="B13" s="98" t="s">
        <v>232</v>
      </c>
      <c r="C13" s="433">
        <f>'2a-PayrollYear1'!R25</f>
        <v>54827.602</v>
      </c>
      <c r="D13" s="432"/>
      <c r="E13" s="141"/>
    </row>
    <row r="14" ht="13.5" customHeight="1">
      <c r="B14" s="105" t="s">
        <v>231</v>
      </c>
      <c r="C14" s="434">
        <f>'5a-OpExYear1'!O38</f>
        <v>121820</v>
      </c>
      <c r="D14" s="432"/>
      <c r="E14" s="141"/>
    </row>
    <row r="15" ht="13.5" customHeight="1">
      <c r="B15" s="114" t="s">
        <v>302</v>
      </c>
      <c r="C15" s="435">
        <f>SUM(C13:C14)</f>
        <v>176647.602</v>
      </c>
      <c r="D15" s="432"/>
      <c r="E15" s="141"/>
    </row>
    <row r="16" ht="12.75" customHeight="1">
      <c r="B16" s="96" t="s">
        <v>303</v>
      </c>
      <c r="C16" s="96"/>
      <c r="D16" s="432"/>
      <c r="E16" s="141"/>
    </row>
    <row r="17" ht="13.5" customHeight="1">
      <c r="B17" s="392" t="s">
        <v>304</v>
      </c>
      <c r="C17" s="436">
        <f>C11</f>
        <v>0.647481167608286</v>
      </c>
      <c r="D17" s="432"/>
      <c r="E17" s="141"/>
    </row>
    <row r="18" ht="13.5" customHeight="1">
      <c r="B18" s="331" t="s">
        <v>301</v>
      </c>
      <c r="C18" s="437">
        <f>C15</f>
        <v>176647.602</v>
      </c>
      <c r="D18" s="432"/>
      <c r="E18" s="141"/>
    </row>
    <row r="19" ht="13.5" customHeight="1">
      <c r="B19" s="114" t="s">
        <v>305</v>
      </c>
      <c r="C19" s="234">
        <f>IF(C11=0,0,C15/C11)</f>
        <v>272822.764332303</v>
      </c>
      <c r="D19" s="432"/>
      <c r="E19" s="141"/>
    </row>
    <row r="20" ht="13.5" customHeight="1">
      <c r="B20" s="438" t="s">
        <v>306</v>
      </c>
      <c r="C20" s="439">
        <f>C19/12</f>
        <v>22735.2303610253</v>
      </c>
      <c r="D20" s="440"/>
      <c r="E20" s="141"/>
    </row>
    <row r="21" ht="12" customHeight="1">
      <c r="C21" s="441"/>
      <c r="D21" s="440"/>
      <c r="E21" s="141"/>
    </row>
    <row r="22" ht="12" customHeight="1">
      <c r="C22" s="442"/>
      <c r="D22" s="440"/>
      <c r="E22" s="141"/>
    </row>
    <row r="23" ht="12" customHeight="1">
      <c r="B23" s="141"/>
      <c r="C23" s="443"/>
      <c r="D23" s="440"/>
      <c r="E23" s="141"/>
    </row>
    <row r="24" ht="12" customHeight="1">
      <c r="B24" s="444"/>
      <c r="C24" s="445"/>
      <c r="D24" s="446"/>
      <c r="E24" s="141"/>
    </row>
    <row r="25" ht="12" customHeight="1">
      <c r="B25" s="444"/>
      <c r="C25" s="447"/>
      <c r="D25" s="446"/>
      <c r="E25" s="141"/>
    </row>
    <row r="26" ht="12" customHeight="1">
      <c r="B26" s="448"/>
      <c r="C26" s="445"/>
      <c r="D26" s="449"/>
      <c r="E26" s="141"/>
    </row>
    <row r="27" ht="12" customHeight="1">
      <c r="B27" s="448"/>
      <c r="C27" s="445"/>
      <c r="D27" s="449"/>
      <c r="E27" s="141"/>
      <c r="J27" s="89"/>
      <c r="K27" s="89"/>
    </row>
    <row r="28" ht="12" customHeight="1">
      <c r="B28" s="448"/>
      <c r="C28" s="445"/>
      <c r="D28" s="449"/>
      <c r="E28" s="141"/>
    </row>
    <row r="29" ht="12" customHeight="1">
      <c r="B29" s="448"/>
      <c r="C29" s="445"/>
      <c r="D29" s="449"/>
      <c r="E29" s="141"/>
    </row>
    <row r="30" ht="12" customHeight="1">
      <c r="B30" s="448"/>
      <c r="C30" s="445"/>
      <c r="D30" s="449"/>
      <c r="E30" s="141"/>
    </row>
    <row r="31" ht="12" customHeight="1">
      <c r="B31" s="448"/>
      <c r="C31" s="445"/>
      <c r="D31" s="449"/>
      <c r="E31" s="141"/>
    </row>
    <row r="32" ht="12" customHeight="1">
      <c r="B32" s="448"/>
      <c r="C32" s="445"/>
      <c r="D32" s="449"/>
      <c r="E32" s="141"/>
    </row>
    <row r="33" ht="12" customHeight="1">
      <c r="B33" s="448"/>
      <c r="C33" s="445"/>
      <c r="D33" s="449"/>
      <c r="E33" s="141"/>
    </row>
    <row r="34" ht="12" customHeight="1">
      <c r="B34" s="448"/>
      <c r="C34" s="445"/>
      <c r="D34" s="449"/>
      <c r="E34" s="141"/>
    </row>
    <row r="35" ht="12" customHeight="1">
      <c r="B35" s="448"/>
      <c r="C35" s="445"/>
      <c r="D35" s="449"/>
      <c r="E35" s="141"/>
    </row>
    <row r="36" ht="12" customHeight="1">
      <c r="B36" s="448"/>
      <c r="C36" s="445"/>
      <c r="D36" s="449"/>
      <c r="E36" s="141"/>
    </row>
    <row r="37" ht="12" customHeight="1">
      <c r="B37" s="448"/>
      <c r="C37" s="445"/>
      <c r="D37" s="449"/>
      <c r="E37" s="141"/>
    </row>
    <row r="38" ht="12" customHeight="1">
      <c r="B38" s="448"/>
      <c r="C38" s="445"/>
      <c r="D38" s="449"/>
      <c r="E38" s="448"/>
    </row>
    <row r="39" ht="12" customHeight="1">
      <c r="B39" s="448"/>
      <c r="C39" s="445"/>
      <c r="D39" s="450"/>
      <c r="E39" s="448"/>
    </row>
    <row r="40" ht="12" customHeight="1">
      <c r="B40" s="444"/>
      <c r="C40" s="451"/>
      <c r="D40" s="452"/>
      <c r="E40" s="448"/>
    </row>
    <row r="41" ht="12" customHeight="1">
      <c r="B41" s="444"/>
      <c r="C41" s="451"/>
      <c r="D41" s="452"/>
      <c r="E41" s="448"/>
    </row>
    <row r="42" ht="12" customHeight="1">
      <c r="B42" s="89"/>
      <c r="C42" s="453"/>
      <c r="D42" s="452"/>
      <c r="E42" s="448"/>
    </row>
    <row r="43" ht="12" customHeight="1">
      <c r="D43" s="409"/>
      <c r="E43" s="448"/>
    </row>
    <row r="44" ht="12" customHeight="1">
      <c r="B44" s="444"/>
      <c r="C44" s="453"/>
      <c r="D44" s="452"/>
      <c r="E44" s="448"/>
    </row>
    <row r="45" ht="12" customHeight="1">
      <c r="A45" s="448"/>
      <c r="B45" s="448"/>
      <c r="C45" s="448"/>
      <c r="D45" s="448"/>
      <c r="E45" s="448"/>
    </row>
    <row r="46" ht="12" customHeight="1">
      <c r="B46" s="448"/>
      <c r="C46" s="448"/>
      <c r="D46" s="454"/>
      <c r="E46" s="448"/>
    </row>
    <row r="47" ht="12" customHeight="1">
      <c r="B47" s="448"/>
      <c r="C47" s="448"/>
      <c r="D47" s="454"/>
      <c r="E47" s="448"/>
    </row>
    <row r="48" ht="12" customHeight="1">
      <c r="B48" s="448"/>
      <c r="C48" s="448"/>
      <c r="D48" s="454"/>
      <c r="E48" s="448"/>
    </row>
  </sheetData>
  <sheetProtection sheet="1" objects="1" formatColumns="0" formatRows="0" password="CC3D"/>
  <mergeCells>
    <mergeCell ref="B8:C8"/>
    <mergeCell ref="B12:C12"/>
    <mergeCell ref="B16:C16"/>
  </mergeCells>
  <printOptions horizontalCentered="1"/>
  <pageMargins left="0.25" right="0.25" top="0.75" bottom="0.75" header="0.3" footer="0.3"/>
  <pageSetup useFirstPageNumber="1" paperSize="1" pageOrder="downThenOver" orientation="landscape"/>
  <headerFooter scaleWithDoc="0">
    <oddHeader>&amp;L&amp;C&amp;"Gill Sans MT,Regular"&amp;12Breakeven Analysis&amp;R</oddHeader>
    <oddFooter>&amp;L&amp;"Gill Sans MT,Regular"&amp;12&amp;F&amp;C&amp;"Gill Sans MT,Regular"&amp;12&amp;A&amp;R&amp;"Gill Sans MT,Regular"&amp;12&amp;D &amp;T</oddFooter>
  </headerFooter>
  <drawing r:id="rId1"/>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70CB768-4A88-6E26-03B2-B81E7BF65F08}" mc:Ignorable="x14ac xr xr2 xr3">
  <sheetPr>
    <tabColor rgb="FF339966"/>
    <pageSetUpPr fitToPage="1"/>
  </sheetPr>
  <dimension ref="A1:GR50000"/>
  <sheetViews>
    <sheetView topLeftCell="A1" workbookViewId="0">
      <selection activeCell="F9" sqref="F9"/>
    </sheetView>
  </sheetViews>
  <sheetFormatPr defaultRowHeight="12" defaultColWidth="17.57421875" customHeight="1"/>
  <cols>
    <col min="1" max="1" style="95" width="9.28125" customWidth="1"/>
    <col min="2" max="2" style="95" width="39.8515625" customWidth="1"/>
    <col min="3" max="3" style="95" width="15.00390625" customWidth="1"/>
    <col min="4" max="4" style="95" width="10.57421875" customWidth="1"/>
    <col min="5" max="5" style="95" width="12.28125" customWidth="1"/>
    <col min="6" max="6" style="95" width="17.28125" customWidth="1"/>
    <col min="7" max="7" style="95" width="12.28125" customWidth="1"/>
    <col min="8" max="11" style="95" width="17.57421875" customWidth="1"/>
  </cols>
  <sheetData>
    <row r="1" ht="12" customHeight="1">
      <c r="A1" s="89"/>
      <c r="B1" s="89"/>
    </row>
    <row r="2" ht="12" customHeight="1">
      <c r="B2" s="90" t="s">
        <v>307</v>
      </c>
    </row>
    <row r="3" ht="12" customHeight="1">
      <c r="B3" s="455"/>
    </row>
    <row r="4" ht="12" customHeight="1">
      <c r="B4" s="173" t="s">
        <v>19</v>
      </c>
      <c r="C4" s="173" t="s">
        <v>20</v>
      </c>
    </row>
    <row r="5" ht="12" customHeight="1">
      <c r="A5" s="89"/>
      <c r="B5" s="253" t="str">
        <f>IF(ISBLANK(Directions!C10),"Owner",Directions!C10)</f>
        <v>Owner</v>
      </c>
      <c r="C5" s="253" t="str">
        <f>IF(ISBLANK(Directions!D10),"Company 1",Directions!D10)</f>
        <v>Company 1</v>
      </c>
      <c r="D5" s="94"/>
      <c r="E5" s="94"/>
    </row>
    <row r="6" ht="12" customHeight="1">
      <c r="A6" s="89"/>
      <c r="B6" s="89"/>
      <c r="C6" s="94"/>
      <c r="D6" s="94"/>
      <c r="E6" s="94"/>
    </row>
    <row r="7" ht="14.25" customHeight="1">
      <c r="B7" s="96" t="s">
        <v>308</v>
      </c>
      <c r="C7" s="96" t="s">
        <v>309</v>
      </c>
      <c r="D7" s="96" t="s">
        <v>310</v>
      </c>
      <c r="E7" s="96" t="s">
        <v>311</v>
      </c>
      <c r="F7" s="96" t="s">
        <v>312</v>
      </c>
      <c r="G7" s="96" t="s">
        <v>26</v>
      </c>
    </row>
    <row r="8" ht="12.75" customHeight="1">
      <c r="A8" s="89"/>
      <c r="B8" s="456" t="s">
        <v>313</v>
      </c>
      <c r="C8" s="457"/>
      <c r="D8" s="458"/>
      <c r="E8" s="98"/>
      <c r="F8" s="98"/>
      <c r="G8" s="98"/>
    </row>
    <row r="9" ht="12" customHeight="1">
      <c r="A9" s="89"/>
      <c r="B9" s="459" t="s">
        <v>314</v>
      </c>
      <c r="C9" s="460">
        <f>IF('8-BalanceSheet'!D37=0,0,'8-BalanceSheet'!D14/'8-BalanceSheet'!D37)</f>
        <v>0</v>
      </c>
      <c r="D9" s="460">
        <f>IF('8-BalanceSheet'!E37=0,0,'8-BalanceSheet'!E14/'8-BalanceSheet'!E37)</f>
        <v>0</v>
      </c>
      <c r="E9" s="460">
        <f>IF('8-BalanceSheet'!F37=0,0,'8-BalanceSheet'!F14/'8-BalanceSheet'!F37)</f>
        <v>0</v>
      </c>
      <c r="F9" s="461"/>
      <c r="G9" s="105"/>
    </row>
    <row r="10" ht="12" customHeight="1">
      <c r="A10" s="89"/>
      <c r="B10" s="459" t="s">
        <v>315</v>
      </c>
      <c r="C10" s="460">
        <f>IF('8-BalanceSheet'!D37=0,0,('8-BalanceSheet'!D9+'8-BalanceSheet'!D10)/'8-BalanceSheet'!D37)</f>
        <v>0</v>
      </c>
      <c r="D10" s="460">
        <f>IF('8-BalanceSheet'!E37=0,0,('8-BalanceSheet'!E9+'8-BalanceSheet'!E10)/'8-BalanceSheet'!E37)</f>
        <v>0</v>
      </c>
      <c r="E10" s="460">
        <f>IF('8-BalanceSheet'!F37=0,0,('8-BalanceSheet'!F9+'8-BalanceSheet'!F10)/'8-BalanceSheet'!F37)</f>
        <v>0</v>
      </c>
      <c r="F10" s="461"/>
      <c r="G10" s="105"/>
    </row>
    <row r="11" ht="12" customHeight="1">
      <c r="A11" s="89"/>
      <c r="B11" s="462" t="s">
        <v>316</v>
      </c>
      <c r="C11" s="460"/>
      <c r="D11" s="460"/>
      <c r="E11" s="460"/>
      <c r="F11" s="461"/>
      <c r="G11" s="105"/>
    </row>
    <row r="12" ht="12" customHeight="1">
      <c r="A12" s="89"/>
      <c r="B12" s="459" t="s">
        <v>317</v>
      </c>
      <c r="C12" s="460">
        <f>IF('8-BalanceSheet'!D42=0,0,'8-BalanceSheet'!D37/'8-BalanceSheet'!D42)</f>
        <v>0</v>
      </c>
      <c r="D12" s="460">
        <f>IF('8-BalanceSheet'!E42=0,0,'8-BalanceSheet'!E37/'8-BalanceSheet'!E42)</f>
        <v>0</v>
      </c>
      <c r="E12" s="460">
        <f>IF('8-BalanceSheet'!F42=0,0,'8-BalanceSheet'!F37/'8-BalanceSheet'!F42)</f>
        <v>0</v>
      </c>
      <c r="F12" s="461"/>
      <c r="G12" s="105"/>
    </row>
    <row r="13" ht="12" customHeight="1">
      <c r="A13" s="89"/>
      <c r="B13" s="459" t="s">
        <v>318</v>
      </c>
      <c r="C13" s="460">
        <f>IF('8-BalanceSheet'!D37=0,0,('7a-IncomeStatementYear1'!O60+'7a-IncomeStatementYear1'!O48)/'8-BalanceSheet'!D37)</f>
        <v>0</v>
      </c>
      <c r="D13" s="460">
        <f>IF('8-BalanceSheet'!E37=0,0,('7b-IncomeStatementYrs1-3'!E47+NetIncomeY2)/'8-BalanceSheet'!E37)</f>
        <v>0</v>
      </c>
      <c r="E13" s="460">
        <f>IF('8-BalanceSheet'!F37=0,0,('7b-IncomeStatementYrs1-3'!G47+NetIncomeY3)/'8-BalanceSheet'!F37)</f>
        <v>0</v>
      </c>
      <c r="F13" s="461"/>
      <c r="G13" s="105"/>
    </row>
    <row r="14" ht="12" customHeight="1">
      <c r="A14" s="89"/>
      <c r="B14" s="462" t="s">
        <v>319</v>
      </c>
      <c r="C14" s="463"/>
      <c r="D14" s="463"/>
      <c r="E14" s="463"/>
      <c r="F14" s="105"/>
      <c r="G14" s="105"/>
    </row>
    <row r="15" ht="13.5" customHeight="1">
      <c r="A15" s="89"/>
      <c r="B15" s="459" t="s">
        <v>320</v>
      </c>
      <c r="C15" s="464">
        <v>0</v>
      </c>
      <c r="D15" s="464">
        <f>IF('7b-IncomeStatementYrs1-3'!C14=0,0,('7b-IncomeStatementYrs1-3'!E14-'7b-IncomeStatementYrs1-3'!C14)/'7b-IncomeStatementYrs1-3'!C14)</f>
        <v>1.52194169380107</v>
      </c>
      <c r="E15" s="464">
        <f>IF('7b-IncomeStatementYrs1-3'!E14=0,0,('7b-IncomeStatementYrs1-3'!G14-'7b-IncomeStatementYrs1-3'!E14)/'7b-IncomeStatementYrs1-3'!E14)</f>
        <v>0.308161654988527</v>
      </c>
      <c r="F15" s="316"/>
      <c r="G15" s="105"/>
    </row>
    <row r="16" ht="13.5" customHeight="1">
      <c r="A16" s="89"/>
      <c r="B16" s="459" t="s">
        <v>321</v>
      </c>
      <c r="C16" s="464">
        <f>IF('7b-IncomeStatementYrs1-3'!C14=0,0,'7b-IncomeStatementYrs1-3'!C22/'7b-IncomeStatementYrs1-3'!C14)</f>
        <v>0.352518832391714</v>
      </c>
      <c r="D16" s="464">
        <f>IF('7b-IncomeStatementYrs1-3'!E14=0,0,'7b-IncomeStatementYrs1-3'!E22/'7b-IncomeStatementYrs1-3'!E14)</f>
        <v>0.351051498592484</v>
      </c>
      <c r="E16" s="464">
        <f>IF('7b-IncomeStatementYrs1-3'!G14=0,0,'7b-IncomeStatementYrs1-3'!G22/'7b-IncomeStatementYrs1-3'!G14)</f>
        <v>0.351051498592482</v>
      </c>
      <c r="F16" s="316"/>
      <c r="G16" s="105"/>
    </row>
    <row r="17" ht="13.5" customHeight="1">
      <c r="A17" s="89"/>
      <c r="B17" s="459" t="s">
        <v>322</v>
      </c>
      <c r="C17" s="464">
        <f>BreakevenAnalysis!C11</f>
        <v>0.647481167608286</v>
      </c>
      <c r="D17" s="464">
        <f>IF('7b-IncomeStatementYrs1-3'!E14=0,0,'7b-IncomeStatementYrs1-3'!E23/'7b-IncomeStatementYrs1-3'!E14)</f>
        <v>0.648948501407516</v>
      </c>
      <c r="E17" s="464">
        <f>IF('7b-IncomeStatementYrs1-3'!G14=0,0,'7b-IncomeStatementYrs1-3'!G23/'7b-IncomeStatementYrs1-3'!G14)</f>
        <v>0.648948501407519</v>
      </c>
      <c r="F17" s="316"/>
      <c r="G17" s="105"/>
    </row>
    <row r="18" ht="13.5" customHeight="1">
      <c r="A18" s="89"/>
      <c r="B18" s="459" t="s">
        <v>323</v>
      </c>
      <c r="C18" s="464">
        <f>IF('7a-IncomeStatementYear1'!O15=0,0,('7a-IncomeStatementYear1'!O25+'7a-IncomeStatementYear1'!O44)/'7a-IncomeStatementYear1'!O15)</f>
        <v>0.288775767027621</v>
      </c>
      <c r="D18" s="464">
        <f>IF('7b-IncomeStatementYrs1-3'!E14=0,0,('7b-IncomeStatementYrs1-3'!E24+'7b-IncomeStatementYrs1-3'!E43)/'7b-IncomeStatementYrs1-3'!E14)</f>
        <v>0.125380094617226</v>
      </c>
      <c r="E18" s="464">
        <f>IF('7b-IncomeStatementYrs1-3'!G14=0,0,('7b-IncomeStatementYrs1-3'!G24+'7b-IncomeStatementYrs1-3'!G43)/'7b-IncomeStatementYrs1-3'!G14)</f>
        <v>0.108644179282764</v>
      </c>
      <c r="F18" s="316"/>
      <c r="G18" s="105"/>
    </row>
    <row r="19" ht="13.5" customHeight="1">
      <c r="A19" s="89"/>
      <c r="B19" s="459" t="s">
        <v>324</v>
      </c>
      <c r="C19" s="464">
        <f>IF('7b-IncomeStatementYrs1-3'!C14=0,0,NetIncomeY1/'7b-IncomeStatementYrs1-3'!C14)</f>
        <v>0.358705400580665</v>
      </c>
      <c r="D19" s="464">
        <f>IF('7b-IncomeStatementYrs1-3'!E14=0,0,NetIncomeY2/'7b-IncomeStatementYrs1-3'!E14)</f>
        <v>0.52356840679029</v>
      </c>
      <c r="E19" s="464">
        <f>IF('7b-IncomeStatementYrs1-3'!G14=0,0,NetIncomeY3/'7b-IncomeStatementYrs1-3'!G14)</f>
        <v>0.540304322124755</v>
      </c>
      <c r="F19" s="316"/>
      <c r="G19" s="105"/>
    </row>
    <row r="20" ht="13.5" customHeight="1">
      <c r="A20" s="89"/>
      <c r="B20" s="459" t="s">
        <v>325</v>
      </c>
      <c r="C20" s="464">
        <f>IF('8-BalanceSheet'!D42=0,0,NetIncomeY1/'8-BalanceSheet'!D42)</f>
        <v>1</v>
      </c>
      <c r="D20" s="464">
        <f>IF('8-BalanceSheet'!E42=0,0,NetIncomeY2/'8-BalanceSheet'!E42)</f>
        <v>0.786372267666004</v>
      </c>
      <c r="E20" s="464">
        <f>IF('8-BalanceSheet'!F42=0,0,NetIncomeY3/'8-BalanceSheet'!F42)</f>
        <v>0.514936231189282</v>
      </c>
      <c r="F20" s="316"/>
      <c r="G20" s="105"/>
    </row>
    <row r="21" ht="13.5" customHeight="1">
      <c r="A21" s="89"/>
      <c r="B21" s="459" t="s">
        <v>326</v>
      </c>
      <c r="C21" s="464">
        <f>IF('8-BalanceSheet'!D26=0,0,NetIncomeY1/'8-BalanceSheet'!D26)</f>
        <v>1.00000181383987</v>
      </c>
      <c r="D21" s="464">
        <f>IF('8-BalanceSheet'!E26=0,0,NetIncomeY2/'8-BalanceSheet'!E26)</f>
        <v>0.786372592991859</v>
      </c>
      <c r="E21" s="464">
        <f>IF('8-BalanceSheet'!F26=0,0,NetIncomeY3/'8-BalanceSheet'!F26)</f>
        <v>0.514936357997926</v>
      </c>
      <c r="F21" s="316"/>
      <c r="G21" s="105"/>
    </row>
    <row r="22" ht="13.5" customHeight="1">
      <c r="A22" s="89"/>
      <c r="B22" s="459" t="s">
        <v>327</v>
      </c>
      <c r="C22" s="464">
        <f>IF('7b-IncomeStatementYrs1-3'!C14=0,0,'2b-PayrollYrs1-3'!C9/'7b-IncomeStatementYrs1-3'!C14)</f>
        <v>0.0828298284159866</v>
      </c>
      <c r="D22" s="464">
        <f>IF('7b-IncomeStatementYrs1-3'!E14=0,0,'2b-PayrollYrs1-3'!E9/'7b-IncomeStatementYrs1-3'!E14)</f>
        <v>0.0394124076474483</v>
      </c>
      <c r="E22" s="464">
        <f>IF('7b-IncomeStatementYrs1-3'!G14=0,0,'2b-PayrollYrs1-3'!G9/'7b-IncomeStatementYrs1-3'!G14)</f>
        <v>0.0391665125990351</v>
      </c>
      <c r="F22" s="316"/>
      <c r="G22" s="105"/>
    </row>
    <row r="23" ht="12" customHeight="1">
      <c r="A23" s="89"/>
      <c r="B23" s="462" t="s">
        <v>328</v>
      </c>
      <c r="C23" s="463"/>
      <c r="D23" s="463"/>
      <c r="E23" s="463"/>
      <c r="F23" s="105"/>
      <c r="G23" s="105"/>
    </row>
    <row r="24" ht="13.5" customHeight="1">
      <c r="A24" s="89"/>
      <c r="B24" s="459" t="s">
        <v>329</v>
      </c>
      <c r="C24" s="460">
        <f>IF('7b-IncomeStatementYrs1-3'!C14=0,0,'8-BalanceSheet'!D10/'7b-IncomeStatementYrs1-3'!C14*360)</f>
        <v>0</v>
      </c>
      <c r="D24" s="460">
        <f>IF('7b-IncomeStatementYrs1-3'!E14=0,0,'8-BalanceSheet'!E10/'7b-IncomeStatementYrs1-3'!E14)*360</f>
        <v>-2.33630239011808e-12</v>
      </c>
      <c r="E24" s="460">
        <f>IF('7b-IncomeStatementYrs1-3'!G14=0,0,'8-BalanceSheet'!F10/'7b-IncomeStatementYrs1-3'!G14*360)</f>
        <v>-1.78594318309885e-12</v>
      </c>
      <c r="F24" s="461"/>
      <c r="G24" s="105"/>
    </row>
    <row r="25" ht="13.5" customHeight="1">
      <c r="A25" s="89"/>
      <c r="B25" s="459" t="s">
        <v>330</v>
      </c>
      <c r="C25" s="460">
        <f>IF('8-BalanceSheet'!D10=0,0,'7b-IncomeStatementYrs1-3'!C14/'8-BalanceSheet'!D10)</f>
        <v>0</v>
      </c>
      <c r="D25" s="460">
        <f>IF('8-BalanceSheet'!E10=0,0,'7b-IncomeStatementYrs1-3'!E14/'8-BalanceSheet'!E10)</f>
        <v>-154089642472097</v>
      </c>
      <c r="E25" s="460">
        <f>IF('8-BalanceSheet'!F10=0,0,'7b-IncomeStatementYrs1-3'!G14/'8-BalanceSheet'!F10)</f>
        <v>-201574161712889</v>
      </c>
      <c r="F25" s="461"/>
      <c r="G25" s="105"/>
    </row>
    <row r="26" ht="12" customHeight="1">
      <c r="A26" s="89"/>
      <c r="B26" s="459" t="s">
        <v>331</v>
      </c>
      <c r="C26" s="460">
        <f>IF('7b-IncomeStatementYrs1-3'!C22=0,0,'8-BalanceSheet'!D11/'7b-IncomeStatementYrs1-3'!C22*360)</f>
        <v>0</v>
      </c>
      <c r="D26" s="460">
        <f>IF('7b-IncomeStatementYrs1-3'!E22=0,0,'8-BalanceSheet'!E11/'7b-IncomeStatementYrs1-3'!E22*365)</f>
        <v>0</v>
      </c>
      <c r="E26" s="460">
        <f>IF('7b-IncomeStatementYrs1-3'!G22=0,0,'8-BalanceSheet'!F11/'7b-IncomeStatementYrs1-3'!G22*365)</f>
        <v>0</v>
      </c>
      <c r="F26" s="461"/>
      <c r="G26" s="105"/>
    </row>
    <row r="27" ht="12" customHeight="1">
      <c r="A27" s="89"/>
      <c r="B27" s="459" t="s">
        <v>332</v>
      </c>
      <c r="C27" s="460">
        <f>IF('8-BalanceSheet'!D11=0,0,'7b-IncomeStatementYrs1-3'!C22/'8-BalanceSheet'!D11)</f>
        <v>0</v>
      </c>
      <c r="D27" s="460">
        <f>IF('8-BalanceSheet'!E11=0,0,'7b-IncomeStatementYrs1-3'!E22/'8-BalanceSheet'!E11)</f>
        <v>0</v>
      </c>
      <c r="E27" s="460">
        <f>IF('8-BalanceSheet'!F11=0,0,'7b-IncomeStatementYrs1-3'!G22/'8-BalanceSheet'!F11)</f>
        <v>0</v>
      </c>
      <c r="F27" s="461"/>
      <c r="G27" s="105"/>
    </row>
    <row r="28" ht="13.5" customHeight="1">
      <c r="A28" s="89"/>
      <c r="B28" s="459" t="s">
        <v>333</v>
      </c>
      <c r="C28" s="460">
        <f>IF('8-BalanceSheet'!D26=0,0,'7b-IncomeStatementYrs1-3'!C14/'8-BalanceSheet'!D26)</f>
        <v>2.78780807933499</v>
      </c>
      <c r="D28" s="460">
        <f>IF('8-BalanceSheet'!E26=0,0,'7b-IncomeStatementYrs1-3'!E14/'8-BalanceSheet'!E26)</f>
        <v>1.50194813665835</v>
      </c>
      <c r="E28" s="460">
        <f>IF('8-BalanceSheet'!F26=0,0,'7b-IncomeStatementYrs1-3'!G14/'8-BalanceSheet'!F26)</f>
        <v>0.953048748477396</v>
      </c>
      <c r="F28" s="461"/>
      <c r="G28" s="105"/>
    </row>
    <row r="29" ht="12" customHeight="1">
      <c r="A29" s="89"/>
      <c r="B29" s="89"/>
      <c r="C29" s="152"/>
      <c r="D29" s="465"/>
      <c r="E29" s="465"/>
      <c r="F29" s="94"/>
      <c r="G29" s="94"/>
      <c r="H29" s="94"/>
    </row>
    <row r="30" ht="12" customHeight="1">
      <c r="A30" s="89"/>
      <c r="B30" s="465"/>
      <c r="C30" s="465"/>
      <c r="D30" s="465"/>
      <c r="E30" s="94"/>
    </row>
    <row r="31" ht="12" customHeight="1">
      <c r="A31" s="89"/>
      <c r="B31" s="465"/>
      <c r="C31" s="465"/>
      <c r="D31" s="465"/>
      <c r="E31" s="94"/>
    </row>
    <row r="32" ht="12" customHeight="1">
      <c r="A32" s="89"/>
      <c r="B32" s="465"/>
      <c r="C32" s="465"/>
      <c r="D32" s="465"/>
      <c r="E32" s="94"/>
    </row>
    <row r="33" ht="12" customHeight="1">
      <c r="B33" s="89"/>
      <c r="C33" s="465"/>
    </row>
  </sheetData>
  <sheetProtection sheet="1" objects="1" formatColumns="0" formatRows="0" password="CC3D"/>
  <conditionalFormatting sqref="F9:F10">
    <cfRule type="expression" dxfId="0" priority="11" text="null">
      <formula>LEN(TRIM(F9))=0</formula>
    </cfRule>
  </conditionalFormatting>
  <conditionalFormatting sqref="F12:F13">
    <cfRule type="expression" dxfId="0" priority="10" text="null">
      <formula>LEN(TRIM(F12))=0</formula>
    </cfRule>
  </conditionalFormatting>
  <conditionalFormatting sqref="F15:F22">
    <cfRule type="expression" dxfId="0" priority="12" text="null">
      <formula>LEN(TRIM(F15))=0</formula>
    </cfRule>
  </conditionalFormatting>
  <conditionalFormatting sqref="F24:F28">
    <cfRule type="expression" dxfId="0" priority="9" text="null">
      <formula>LEN(TRIM(F24))=0</formula>
    </cfRule>
  </conditionalFormatting>
  <printOptions horizontalCentered="1" verticalCentered="1"/>
  <pageMargins left="0.25" right="0.25" top="0.75" bottom="0.75" header="0.3" footer="0.3"/>
  <pageSetup useFirstPageNumber="1" paperSize="1" pageOrder="downThenOver" orientation="landscape"/>
  <headerFooter scaleWithDoc="0">
    <oddHeader>&amp;L&amp;C&amp;"Gill Sans MT,Regular"&amp;12Financial Ratios - Year 1&amp;R</oddHeader>
    <oddFooter>&amp;L&amp;"Gill Sans MT,Regular"&amp;12&amp;F&amp;C&amp;"Gill Sans MT,Regular"&amp;12&amp;A&amp;R&amp;"Gill Sans MT,Regular"&amp;12&amp;D &amp;T</oddFooter>
  </headerFooter>
  <drawing r:id="rId3"/>
  <legacyDrawing r:id="rId2"/>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6AD2348-8651-0B87-31B8-A2721D6B7D05}" mc:Ignorable="x14ac xr xr2 xr3">
  <sheetPr>
    <tabColor rgb="FF339966"/>
    <pageSetUpPr fitToPage="1"/>
  </sheetPr>
  <dimension ref="A1:GR50000"/>
  <sheetViews>
    <sheetView topLeftCell="A1" workbookViewId="0">
      <selection activeCell="G34" sqref="G34"/>
    </sheetView>
  </sheetViews>
  <sheetFormatPr defaultRowHeight="12" defaultColWidth="9.140625" customHeight="1"/>
  <cols>
    <col min="1" max="1" style="95" width="6.28125" customWidth="1"/>
    <col min="2" max="2" style="95" width="41.140625" customWidth="1"/>
    <col min="3" max="3" style="95" width="11.7109375" customWidth="1"/>
    <col min="4" max="4" style="95" width="53.7109375" customWidth="1"/>
    <col min="5" max="5" style="95" width="9.140625" customWidth="1"/>
    <col min="6" max="6" style="95" width="23.28125" customWidth="1"/>
    <col min="7" max="10" style="95" width="9.140625" customWidth="1"/>
  </cols>
  <sheetData>
    <row r="1" ht="12" customHeight="1">
      <c r="A1" s="89"/>
      <c r="B1" s="89"/>
    </row>
    <row r="2" ht="12" customHeight="1">
      <c r="B2" s="90" t="s">
        <v>334</v>
      </c>
    </row>
    <row r="3" ht="12" customHeight="1">
      <c r="B3" s="455"/>
    </row>
    <row r="4" ht="12" customHeight="1">
      <c r="B4" s="173" t="s">
        <v>19</v>
      </c>
      <c r="C4" s="173" t="s">
        <v>20</v>
      </c>
      <c r="D4" s="173"/>
    </row>
    <row r="5" ht="12" customHeight="1">
      <c r="A5" s="89"/>
      <c r="B5" s="253" t="str">
        <f>IF(ISBLANK(Directions!C10),"Owner",Directions!C10)</f>
        <v>Owner</v>
      </c>
      <c r="C5" s="253" t="str">
        <f>IF(ISBLANK(Directions!D10),"Company 1",Directions!D10)</f>
        <v>Company 1</v>
      </c>
      <c r="D5" s="253"/>
      <c r="E5" s="94"/>
      <c r="F5" s="94"/>
      <c r="G5" s="94"/>
      <c r="H5" s="94"/>
    </row>
    <row r="6" ht="12" customHeight="1">
      <c r="A6" s="89"/>
      <c r="B6" s="89"/>
      <c r="C6" s="94"/>
      <c r="D6" s="94"/>
      <c r="E6" s="94"/>
      <c r="F6" s="94"/>
      <c r="G6" s="94"/>
      <c r="H6" s="94"/>
    </row>
    <row r="7" ht="14.25" customHeight="1">
      <c r="B7" s="96" t="s">
        <v>335</v>
      </c>
      <c r="C7" s="96" t="s">
        <v>336</v>
      </c>
      <c r="D7" s="96" t="s">
        <v>337</v>
      </c>
      <c r="E7" s="466"/>
      <c r="F7" s="466"/>
      <c r="G7" s="94"/>
      <c r="H7" s="466"/>
    </row>
    <row r="8" ht="12.75" customHeight="1">
      <c r="A8" s="89"/>
      <c r="B8" s="98" t="s">
        <v>338</v>
      </c>
      <c r="C8" s="467">
        <f>IF('1-StartingPoint'!D42=0,0,'1-StartingPoint'!D34/'1-StartingPoint'!C31)</f>
        <v>0</v>
      </c>
      <c r="D8" s="468" t="str">
        <f>IF(C8&gt;0.2,"Owner's injection is reasonable","Owner's injection might be too low in relation to the amount of money needed")</f>
        <v>Owner's injection might be too low in relation to the amount of money needed</v>
      </c>
      <c r="E8" s="469"/>
      <c r="F8" s="469"/>
      <c r="G8" s="94"/>
      <c r="H8" s="94"/>
    </row>
    <row r="9" ht="12" customHeight="1">
      <c r="A9" s="89"/>
      <c r="B9" s="105" t="s">
        <v>340</v>
      </c>
      <c r="C9" s="470">
        <f>IF('1-StartingPoint'!C31=0,0,'1-StartingPoint'!C29/'1-StartingPoint'!C31)</f>
        <v>0</v>
      </c>
      <c r="D9" s="471" t="str">
        <f>IF(C9&lt;0.2,"Cash request seems reasonable with respect to total request","Cash request exceeds 20% which might be too high")</f>
        <v>Cash request seems reasonable with respect to total request</v>
      </c>
      <c r="E9" s="469"/>
      <c r="F9" s="469"/>
      <c r="G9" s="94"/>
      <c r="H9" s="94"/>
    </row>
    <row r="10" ht="12" customHeight="1">
      <c r="A10" s="89"/>
      <c r="B10" s="114"/>
      <c r="C10" s="472"/>
      <c r="D10" s="471"/>
      <c r="E10" s="469"/>
      <c r="F10" s="469"/>
      <c r="G10" s="94"/>
      <c r="H10" s="94"/>
    </row>
    <row r="11" ht="14.25" customHeight="1">
      <c r="A11" s="89"/>
      <c r="B11" s="96" t="s">
        <v>342</v>
      </c>
      <c r="C11" s="96" t="s">
        <v>336</v>
      </c>
      <c r="D11" s="96" t="s">
        <v>337</v>
      </c>
      <c r="E11" s="469"/>
      <c r="F11" s="469"/>
      <c r="G11" s="94"/>
      <c r="H11" s="94"/>
    </row>
    <row r="12" ht="12.75" customHeight="1">
      <c r="A12" s="89"/>
      <c r="B12" s="98" t="s">
        <v>343</v>
      </c>
      <c r="C12" s="467">
        <f>'1-StartingPoint'!E37</f>
        <v>0.09</v>
      </c>
      <c r="D12" s="98" t="str">
        <f>IF(C12&lt;0.06,"Interest rate may be too low for the type of loan requested","Interest rate seems reasonable")</f>
        <v>Interest rate seems reasonable</v>
      </c>
      <c r="E12" s="94"/>
      <c r="F12" s="94"/>
      <c r="G12" s="94"/>
      <c r="H12" s="94"/>
    </row>
    <row r="13" ht="12" customHeight="1">
      <c r="A13" s="89"/>
      <c r="B13" s="105" t="s">
        <v>345</v>
      </c>
      <c r="C13" s="473">
        <f>'1-StartingPoint'!F37</f>
        <v>84</v>
      </c>
      <c r="D13" s="105" t="str">
        <f>IF(C13&gt;120,"Loan term may be too high for this type of loan","Loan term seems within range for this type of loan")</f>
        <v>Loan term seems within range for this type of loan</v>
      </c>
      <c r="E13" s="465"/>
      <c r="F13" s="465"/>
      <c r="G13" s="94"/>
      <c r="H13" s="94"/>
    </row>
    <row r="14" ht="12" customHeight="1">
      <c r="A14" s="89"/>
      <c r="B14" s="105" t="s">
        <v>347</v>
      </c>
      <c r="C14" s="470">
        <f>'1-StartingPoint'!E38</f>
        <v>0.09</v>
      </c>
      <c r="D14" s="474" t="str">
        <f>IF(C14&lt;0.06,"Interest rate may be too low for type of loan requested","Interest rate seems reasonable")</f>
        <v>Interest rate seems reasonable</v>
      </c>
      <c r="E14" s="465"/>
      <c r="F14" s="465"/>
      <c r="G14" s="94"/>
      <c r="H14" s="94"/>
    </row>
    <row r="15" ht="12" customHeight="1">
      <c r="A15" s="89"/>
      <c r="B15" s="105" t="s">
        <v>348</v>
      </c>
      <c r="C15" s="475">
        <f>'1-StartingPoint'!F38</f>
        <v>240</v>
      </c>
      <c r="D15" s="476" t="str">
        <f>IF(C15&gt;240,"Loan term may be too high for this type of loan","Loan term seems within range for this type of loan")</f>
        <v>Loan term seems within range for this type of loan</v>
      </c>
      <c r="E15" s="465"/>
      <c r="F15" s="465"/>
      <c r="G15" s="94"/>
      <c r="H15" s="94"/>
    </row>
    <row r="16" ht="12" customHeight="1">
      <c r="A16" s="89"/>
      <c r="B16" s="105" t="s">
        <v>349</v>
      </c>
      <c r="C16" s="472">
        <f>FinancialRatios!C13</f>
        <v>0</v>
      </c>
      <c r="D16" s="474" t="str">
        <f>IF(C16&gt;1,"Calculated loan payments relative to operating proft may be too high","Calculated loan payments relative to operating profit seem reasonable")</f>
        <v>Calculated loan payments relative to operating profit seem reasonable</v>
      </c>
      <c r="E16" s="465"/>
      <c r="F16" s="465"/>
      <c r="G16" s="94"/>
      <c r="H16" s="94"/>
    </row>
    <row r="17" ht="12" customHeight="1">
      <c r="A17" s="89"/>
      <c r="B17" s="114"/>
      <c r="C17" s="470"/>
      <c r="D17" s="474"/>
      <c r="E17" s="465"/>
      <c r="F17" s="465"/>
      <c r="G17" s="94"/>
      <c r="H17" s="94"/>
    </row>
    <row r="18" ht="14.25" customHeight="1">
      <c r="A18" s="89"/>
      <c r="B18" s="96" t="s">
        <v>351</v>
      </c>
      <c r="C18" s="96" t="s">
        <v>336</v>
      </c>
      <c r="D18" s="96" t="s">
        <v>337</v>
      </c>
      <c r="E18" s="465"/>
      <c r="F18" s="465"/>
      <c r="G18" s="94"/>
      <c r="H18" s="94"/>
    </row>
    <row r="19" ht="13.5" customHeight="1">
      <c r="A19" s="89"/>
      <c r="B19" s="98" t="s">
        <v>352</v>
      </c>
      <c r="C19" s="467">
        <f>BreakevenAnalysis!C11</f>
        <v>0.647481167608286</v>
      </c>
      <c r="D19" s="477" t="str">
        <f>IF(C19&lt;0.2,"Gross margin percentage seems very low","Gross margin percentage seems reasonable")</f>
        <v>Gross margin percentage seems reasonable</v>
      </c>
      <c r="E19" s="465"/>
      <c r="F19" s="465"/>
      <c r="G19" s="94"/>
      <c r="H19" s="94"/>
    </row>
    <row r="20" ht="13.5" customHeight="1">
      <c r="A20" s="89"/>
      <c r="B20" s="105" t="s">
        <v>354</v>
      </c>
      <c r="C20" s="423">
        <f>'2a-PayrollYear1'!R8</f>
        <v>50668</v>
      </c>
      <c r="D20" s="474" t="str">
        <f>IF(C20&gt;0,"An owner's compensation amount has been established","An owner's compensation amount has not been established")</f>
        <v>An owner's compensation amount has been established</v>
      </c>
      <c r="E20" s="465"/>
      <c r="F20" s="465"/>
      <c r="G20" s="94"/>
      <c r="H20" s="94"/>
    </row>
    <row r="21" ht="13.5" customHeight="1">
      <c r="A21" s="89"/>
      <c r="B21" s="105" t="s">
        <v>356</v>
      </c>
      <c r="C21" s="470">
        <f>IF(NetIncomeY1=0,0,'2a-PayrollYear1'!R8/NetIncomeY1)</f>
        <v>0.230913246028366</v>
      </c>
      <c r="D21" s="474" t="str">
        <f>IF(C21&gt;1,"Owner's compensation may be too high relative to profitability of business","Owner's compensation seems reasonable")</f>
        <v>Owner's compensation seems reasonable</v>
      </c>
      <c r="E21" s="465"/>
      <c r="F21" s="465"/>
      <c r="G21" s="94"/>
      <c r="H21" s="94"/>
    </row>
    <row r="22" ht="12" customHeight="1">
      <c r="A22" s="89"/>
      <c r="B22" s="105" t="s">
        <v>358</v>
      </c>
      <c r="C22" s="470">
        <f>IF('7b-IncomeStatementYrs1-3'!C14=0,0,'7b-IncomeStatementYrs1-3'!C26/'7b-IncomeStatementYrs1-3'!C14)</f>
        <v>0</v>
      </c>
      <c r="D22" s="474" t="str">
        <f>IF(C22&lt;0.02,"Advertising as a percent of sales may be too low","Advertising as a percent of sales seems reasonable")</f>
        <v>Advertising as a percent of sales may be too low</v>
      </c>
      <c r="E22" s="465"/>
      <c r="F22" s="465"/>
      <c r="G22" s="94"/>
      <c r="H22" s="94"/>
    </row>
    <row r="23" ht="13.5" customHeight="1">
      <c r="A23" s="89"/>
      <c r="B23" s="105" t="s">
        <v>360</v>
      </c>
      <c r="C23" s="423">
        <f>NetIncomeY1</f>
        <v>219424.398</v>
      </c>
      <c r="D23" s="474" t="str">
        <f>IF(C23&lt;=0,"The business is not showing a profit","The business is showing a profit")</f>
        <v>The business is showing a profit</v>
      </c>
      <c r="E23" s="465"/>
      <c r="F23" s="465"/>
      <c r="G23" s="94"/>
      <c r="H23" s="94"/>
    </row>
    <row r="24" ht="13.5" customHeight="1">
      <c r="A24" s="89"/>
      <c r="B24" s="105" t="s">
        <v>362</v>
      </c>
      <c r="C24" s="470">
        <f>IF('7b-IncomeStatementYrs1-3'!C14=0,0,NetIncomeY1/'7b-IncomeStatementYrs1-3'!C14)</f>
        <v>0.358705400580665</v>
      </c>
      <c r="D24" s="474" t="str">
        <f>IF(C24&gt;0.2,"The projection may be too aggressive in stating profitability","The projection does not seem highly unreasonable")</f>
        <v>The projection may be too aggressive in stating profitability</v>
      </c>
      <c r="E24" s="465"/>
      <c r="F24" s="465"/>
      <c r="G24" s="94"/>
      <c r="H24" s="94"/>
    </row>
    <row r="25" ht="12" customHeight="1">
      <c r="A25" s="89"/>
      <c r="B25" s="114"/>
      <c r="C25" s="338"/>
      <c r="D25" s="474"/>
      <c r="E25" s="465"/>
      <c r="F25" s="465"/>
      <c r="G25" s="94"/>
      <c r="H25" s="94"/>
    </row>
    <row r="26" ht="14.25" customHeight="1">
      <c r="A26" s="89"/>
      <c r="B26" s="96" t="s">
        <v>364</v>
      </c>
      <c r="C26" s="96" t="s">
        <v>336</v>
      </c>
      <c r="D26" s="96" t="s">
        <v>337</v>
      </c>
      <c r="E26" s="465"/>
      <c r="F26" s="465"/>
      <c r="G26" s="94"/>
      <c r="H26" s="94"/>
    </row>
    <row r="27" ht="12.75" customHeight="1">
      <c r="A27" s="89"/>
      <c r="B27" s="98" t="s">
        <v>365</v>
      </c>
      <c r="C27" s="478">
        <f>'6a-CashFlowYear1'!O32</f>
        <v>0</v>
      </c>
      <c r="D27" s="477" t="str">
        <f>IF(C27&lt;0,"The financial projection does not provide the desired level of cash flow","The financial projection provides the desired level of cash flow")</f>
        <v>The financial projection provides the desired level of cash flow</v>
      </c>
      <c r="E27" s="465"/>
      <c r="F27" s="465"/>
      <c r="G27" s="94"/>
      <c r="H27" s="94"/>
    </row>
    <row r="28" ht="12" customHeight="1">
      <c r="A28" s="89"/>
      <c r="B28" s="105" t="s">
        <v>367</v>
      </c>
      <c r="C28" s="161">
        <f>+C27</f>
        <v>0</v>
      </c>
      <c r="D28" s="474" t="str">
        <f>IF(C28&gt;0,"The business will need at least this level of a line of credit","The business doesn't seem to require a line of credit")</f>
        <v>The business doesn't seem to require a line of credit</v>
      </c>
      <c r="E28" s="465"/>
      <c r="F28" s="465"/>
      <c r="G28" s="94"/>
      <c r="H28" s="94"/>
    </row>
    <row r="29" ht="12" customHeight="1">
      <c r="A29" s="89"/>
      <c r="B29" s="105" t="s">
        <v>369</v>
      </c>
      <c r="C29" s="470">
        <f>IF('7b-IncomeStatementYrs1-3'!C14=0,0,'8-BalanceSheet'!D10/'7b-IncomeStatementYrs1-3'!C14)</f>
        <v>0</v>
      </c>
      <c r="D29" s="474" t="str">
        <f>IF(C29&gt;0.3,"Accounts receivable amounts seem high","Accounts receivable amount as a percent of sales seems reasonable")</f>
        <v>Accounts receivable amount as a percent of sales seems reasonable</v>
      </c>
      <c r="E29" s="465"/>
      <c r="F29" s="465"/>
      <c r="G29" s="94"/>
      <c r="H29" s="94"/>
    </row>
    <row r="30" ht="12" customHeight="1">
      <c r="A30" s="89"/>
      <c r="B30" s="114"/>
      <c r="C30" s="114"/>
      <c r="D30" s="474"/>
      <c r="E30" s="465"/>
      <c r="F30" s="465"/>
      <c r="G30" s="94"/>
      <c r="H30" s="94"/>
    </row>
    <row r="31" ht="14.25" customHeight="1">
      <c r="A31" s="89"/>
      <c r="B31" s="96" t="s">
        <v>371</v>
      </c>
      <c r="C31" s="96" t="s">
        <v>336</v>
      </c>
      <c r="D31" s="96" t="s">
        <v>337</v>
      </c>
      <c r="E31" s="465"/>
      <c r="F31" s="465"/>
      <c r="G31" s="94"/>
      <c r="H31" s="94"/>
    </row>
    <row r="32" ht="12.75" customHeight="1">
      <c r="A32" s="89"/>
      <c r="B32" s="98" t="s">
        <v>372</v>
      </c>
      <c r="C32" s="479">
        <f>'8-BalanceSheet'!D45</f>
        <v>0</v>
      </c>
      <c r="D32" s="477" t="str">
        <f>IF(C32&lt;&gt;0,"The balance sheet is not in balance","The balance sheet does balance")</f>
        <v>The balance sheet does balance</v>
      </c>
      <c r="E32" s="465"/>
      <c r="F32" s="465"/>
      <c r="G32" s="94"/>
      <c r="H32" s="94"/>
    </row>
    <row r="33" ht="12" customHeight="1">
      <c r="A33" s="89"/>
      <c r="B33" s="105" t="s">
        <v>317</v>
      </c>
      <c r="C33" s="470">
        <f>FinancialRatios!C12</f>
        <v>0</v>
      </c>
      <c r="D33" s="474" t="str">
        <f>IF(C33&lt;=2,"Very comfortable",IF(C33&lt;=3,"Reasonable",IF(C33&lt;=4,"Getting debt heavy","Debt heavy")))</f>
        <v>Very comfortable</v>
      </c>
      <c r="E33" s="465"/>
      <c r="F33" s="465"/>
      <c r="G33" s="94"/>
      <c r="H33" s="94"/>
    </row>
    <row r="34" ht="12" customHeight="1">
      <c r="A34" s="89"/>
      <c r="B34" s="114"/>
      <c r="C34" s="338"/>
      <c r="D34" s="474"/>
      <c r="E34" s="465"/>
      <c r="F34" s="465"/>
      <c r="G34" s="94"/>
      <c r="H34" s="94"/>
    </row>
    <row r="35" ht="14.25" customHeight="1">
      <c r="A35" s="89"/>
      <c r="B35" s="96" t="s">
        <v>375</v>
      </c>
      <c r="C35" s="96" t="s">
        <v>336</v>
      </c>
      <c r="D35" s="96" t="s">
        <v>337</v>
      </c>
      <c r="E35" s="465"/>
      <c r="F35" s="465"/>
      <c r="G35" s="94"/>
      <c r="H35" s="94"/>
    </row>
    <row r="36" ht="13.5" customHeight="1">
      <c r="A36" s="89"/>
      <c r="B36" s="98" t="s">
        <v>376</v>
      </c>
      <c r="C36" s="479">
        <f>'7b-IncomeStatementYrs1-3'!C14-BreakevenAnalysis!C19</f>
        <v>338889.235667697</v>
      </c>
      <c r="D36" s="477" t="str">
        <f>IF(C36&gt;0,"The sales projection exceeds the projected break-even sales level","The sales projection is less than the break-even amount")</f>
        <v>The sales projection exceeds the projected break-even sales level</v>
      </c>
      <c r="E36" s="465"/>
      <c r="F36" s="465"/>
      <c r="G36" s="94"/>
      <c r="H36" s="94"/>
    </row>
    <row r="37" ht="12" customHeight="1">
      <c r="A37" s="89"/>
      <c r="B37" s="89"/>
      <c r="C37" s="465"/>
      <c r="D37" s="465"/>
      <c r="E37" s="465"/>
      <c r="F37" s="465"/>
      <c r="G37" s="94"/>
      <c r="H37" s="94"/>
    </row>
    <row r="38" ht="12" customHeight="1">
      <c r="A38" s="89"/>
      <c r="B38" s="89"/>
      <c r="C38" s="465"/>
      <c r="D38" s="465"/>
      <c r="E38" s="465"/>
      <c r="F38" s="465"/>
      <c r="G38" s="94"/>
      <c r="H38" s="94"/>
    </row>
    <row r="39" ht="12" customHeight="1">
      <c r="A39" s="89"/>
      <c r="B39" s="89"/>
      <c r="C39" s="465"/>
      <c r="D39" s="465"/>
      <c r="E39" s="465"/>
      <c r="F39" s="465"/>
      <c r="G39" s="94"/>
      <c r="H39" s="94"/>
    </row>
    <row r="40" ht="12" customHeight="1">
      <c r="B40" s="89"/>
      <c r="C40" s="465"/>
      <c r="D40" s="465"/>
    </row>
  </sheetData>
  <sheetProtection sheet="1" objects="1" formatColumns="0" formatRows="0" password="CC3D"/>
  <mergeCells>
    <mergeCell ref="C4:D4"/>
    <mergeCell ref="C5:D5"/>
  </mergeCells>
  <printOptions horizontalCentered="1" verticalCentered="1"/>
  <pageMargins left="0.25" right="0.25" top="0.75" bottom="0.75" header="0.3" footer="0.3"/>
  <pageSetup useFirstPageNumber="1" paperSize="1" pageOrder="downThenOver" orientation="landscape"/>
  <headerFooter scaleWithDoc="0">
    <oddHeader>&amp;L&amp;C&amp;"Gill Sans MT,Regular"&amp;12Diagnostic Tools - Year 1&amp;R</oddHeader>
    <oddFooter>&amp;L&amp;"Gill Sans MT,Regular"&amp;12&amp;F&amp;C&amp;"Gill Sans MT,Regular"&amp;12&amp;A&amp;R&amp;"Gill Sans MT,Regular"&amp;12&amp;D &amp;T</oddFooter>
  </headerFooter>
  <drawing r:id="rId1"/>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95826A8-0A08-1E35-1905-57F21D2604F8}" mc:Ignorable="x14ac xr xr2 xr3">
  <sheetPr>
    <tabColor rgb="FF339966"/>
    <pageSetUpPr fitToPage="1"/>
  </sheetPr>
  <dimension ref="A1:GR50000"/>
  <sheetViews>
    <sheetView topLeftCell="A1" workbookViewId="0">
      <selection activeCell="F25" sqref="F25"/>
    </sheetView>
  </sheetViews>
  <sheetFormatPr defaultRowHeight="12" defaultColWidth="8.8515625" customHeight="1"/>
  <cols>
    <col min="1" max="1" style="172" width="9.140625" customWidth="1"/>
    <col min="2" max="2" style="172" width="66.140625" customWidth="1"/>
    <col min="3" max="3" style="172" width="30.57421875" customWidth="1"/>
    <col min="4" max="6" style="172" width="9.140625" customWidth="1"/>
    <col min="7" max="9" style="492" width="9.140625" customWidth="1"/>
  </cols>
  <sheetData>
    <row r="1" ht="12" customHeight="1">
      <c r="G1" s="172"/>
      <c r="H1" s="172"/>
      <c r="I1" s="172"/>
    </row>
    <row r="2" ht="12" customHeight="1">
      <c r="B2" s="173" t="s">
        <v>378</v>
      </c>
      <c r="C2" s="480"/>
      <c r="G2" s="172"/>
      <c r="H2" s="172"/>
      <c r="I2" s="172"/>
    </row>
    <row r="3" ht="12" customHeight="1">
      <c r="B3" s="480"/>
      <c r="C3" s="480"/>
      <c r="G3" s="172"/>
      <c r="H3" s="172"/>
      <c r="I3" s="172"/>
    </row>
    <row r="4" ht="15" customHeight="1">
      <c r="B4" s="173" t="s">
        <v>19</v>
      </c>
      <c r="C4" s="173" t="s">
        <v>20</v>
      </c>
      <c r="H4" s="172"/>
      <c r="I4" s="172"/>
    </row>
    <row r="5" ht="12" customHeight="1">
      <c r="B5" s="253" t="str">
        <f>IF(ISBLANK(Directions!C10),"Owner",Directions!C10)</f>
        <v>Owner</v>
      </c>
      <c r="C5" s="253" t="str">
        <f>IF(ISBLANK(Directions!D10),"Company 1",Directions!D10)</f>
        <v>Company 1</v>
      </c>
      <c r="H5" s="481"/>
      <c r="I5" s="481"/>
    </row>
    <row r="6" ht="15.75" customHeight="1">
      <c r="B6" s="482"/>
      <c r="C6" s="482"/>
      <c r="H6" s="481"/>
      <c r="I6" s="481"/>
    </row>
    <row r="7" ht="12.75" customHeight="1">
      <c r="B7" s="96" t="s">
        <v>379</v>
      </c>
      <c r="C7" s="96"/>
      <c r="F7" s="481"/>
      <c r="G7" s="481"/>
      <c r="H7" s="481"/>
      <c r="I7" s="481"/>
    </row>
    <row r="8" ht="12.75" customHeight="1">
      <c r="B8" s="194" t="s">
        <v>380</v>
      </c>
      <c r="C8" s="483" t="s">
        <v>381</v>
      </c>
      <c r="G8" s="172"/>
      <c r="H8" s="172"/>
      <c r="I8" s="172"/>
    </row>
    <row r="9" ht="12" customHeight="1">
      <c r="B9" s="232" t="s">
        <v>382</v>
      </c>
      <c r="C9" s="484" t="s">
        <v>383</v>
      </c>
      <c r="G9" s="172"/>
      <c r="H9" s="172"/>
      <c r="I9" s="172"/>
    </row>
    <row r="10" ht="12.75" customHeight="1">
      <c r="B10" s="485" t="s">
        <v>384</v>
      </c>
      <c r="C10" s="486"/>
      <c r="G10" s="172"/>
      <c r="H10" s="172"/>
      <c r="I10" s="172"/>
    </row>
    <row r="11" ht="12.75" customHeight="1">
      <c r="B11" s="485" t="s">
        <v>385</v>
      </c>
      <c r="C11" s="486"/>
      <c r="G11" s="172"/>
      <c r="H11" s="172"/>
      <c r="I11" s="172"/>
    </row>
    <row r="12" ht="12.75" customHeight="1">
      <c r="B12" s="485" t="s">
        <v>386</v>
      </c>
      <c r="C12" s="486"/>
      <c r="G12" s="172"/>
      <c r="H12" s="172"/>
      <c r="I12" s="172"/>
    </row>
    <row r="13" ht="12.75" customHeight="1">
      <c r="B13" s="485" t="s">
        <v>387</v>
      </c>
      <c r="C13" s="486"/>
      <c r="G13" s="172"/>
      <c r="H13" s="172"/>
      <c r="I13" s="172"/>
    </row>
    <row r="14" ht="12.75" customHeight="1">
      <c r="B14" s="487" t="s">
        <v>388</v>
      </c>
      <c r="C14" s="109">
        <f>SUM(C10:C13)</f>
        <v>0</v>
      </c>
      <c r="G14" s="172"/>
      <c r="H14" s="172"/>
      <c r="I14" s="172"/>
    </row>
    <row r="15" ht="12.75" customHeight="1">
      <c r="B15" s="485" t="s">
        <v>389</v>
      </c>
      <c r="C15" s="488"/>
      <c r="G15" s="172"/>
      <c r="H15" s="172"/>
      <c r="I15" s="172"/>
    </row>
    <row r="16" ht="12.75" customHeight="1">
      <c r="B16" s="489" t="s">
        <v>390</v>
      </c>
      <c r="C16" s="135" t="str">
        <f t="shared" si="0" ref="C16:C26">IF(C15&gt;0,C14/C15,"Please enter all information.")</f>
        <v>Please enter all information.</v>
      </c>
      <c r="G16" s="172"/>
      <c r="H16" s="172"/>
      <c r="I16" s="172"/>
    </row>
    <row r="17" ht="12" customHeight="1">
      <c r="B17" s="490"/>
      <c r="C17" s="136"/>
      <c r="G17" s="172"/>
      <c r="H17" s="172"/>
      <c r="I17" s="172"/>
    </row>
    <row r="18" ht="12.75" customHeight="1">
      <c r="B18" s="96" t="s">
        <v>392</v>
      </c>
      <c r="C18" s="96"/>
      <c r="G18" s="172"/>
      <c r="H18" s="172"/>
      <c r="I18" s="172"/>
    </row>
    <row r="19" ht="12.75" customHeight="1">
      <c r="B19" s="194" t="s">
        <v>380</v>
      </c>
      <c r="C19" s="483" t="s">
        <v>381</v>
      </c>
      <c r="G19" s="172"/>
      <c r="H19" s="172"/>
      <c r="I19" s="172"/>
    </row>
    <row r="20" ht="12" customHeight="1">
      <c r="B20" s="232" t="s">
        <v>382</v>
      </c>
      <c r="C20" s="484" t="s">
        <v>393</v>
      </c>
      <c r="G20" s="172"/>
      <c r="H20" s="172"/>
      <c r="I20" s="172"/>
    </row>
    <row r="21" ht="12.75" customHeight="1">
      <c r="B21" s="485" t="s">
        <v>394</v>
      </c>
      <c r="C21" s="486"/>
      <c r="G21" s="172"/>
      <c r="H21" s="172"/>
      <c r="I21" s="172"/>
    </row>
    <row r="22" ht="12.75" customHeight="1">
      <c r="B22" s="485" t="s">
        <v>395</v>
      </c>
      <c r="C22" s="486"/>
      <c r="G22" s="172"/>
      <c r="H22" s="172"/>
      <c r="I22" s="172"/>
    </row>
    <row r="23" ht="12.75" customHeight="1">
      <c r="B23" s="485" t="s">
        <v>396</v>
      </c>
      <c r="C23" s="486"/>
      <c r="G23" s="172"/>
      <c r="H23" s="172"/>
      <c r="I23" s="172"/>
    </row>
    <row r="24" ht="12.75" customHeight="1">
      <c r="B24" s="487" t="s">
        <v>397</v>
      </c>
      <c r="C24" s="109">
        <f>SUM(C21:C23)</f>
        <v>0</v>
      </c>
      <c r="G24" s="172"/>
      <c r="H24" s="172"/>
      <c r="I24" s="172"/>
    </row>
    <row r="25" ht="12.75" customHeight="1">
      <c r="B25" s="485" t="s">
        <v>398</v>
      </c>
      <c r="C25" s="488"/>
      <c r="G25" s="172"/>
      <c r="H25" s="172"/>
      <c r="I25" s="172"/>
    </row>
    <row r="26" ht="12.75" customHeight="1">
      <c r="B26" s="489" t="s">
        <v>390</v>
      </c>
      <c r="C26" s="135" t="str">
        <f t="shared" si="0"/>
        <v>Please enter all information.</v>
      </c>
      <c r="G26" s="172"/>
      <c r="H26" s="172"/>
      <c r="I26" s="172"/>
    </row>
    <row r="27" ht="12" customHeight="1">
      <c r="B27" s="95"/>
      <c r="C27" s="95"/>
      <c r="G27" s="172"/>
      <c r="H27" s="172"/>
      <c r="I27" s="172"/>
    </row>
    <row r="28" ht="12" customHeight="1">
      <c r="B28" s="95"/>
      <c r="C28" s="95"/>
      <c r="G28" s="172"/>
      <c r="H28" s="172"/>
      <c r="I28" s="172"/>
    </row>
    <row r="29" ht="12" customHeight="1">
      <c r="B29" s="95"/>
      <c r="C29" s="491" t="s">
        <v>399</v>
      </c>
      <c r="D29" s="491"/>
      <c r="E29" s="491"/>
      <c r="G29" s="172"/>
      <c r="H29" s="172"/>
      <c r="I29" s="172"/>
    </row>
    <row r="30" ht="12" customHeight="1">
      <c r="C30" s="491"/>
      <c r="D30" s="491"/>
      <c r="E30" s="491"/>
      <c r="G30" s="172"/>
      <c r="H30" s="172"/>
      <c r="I30" s="172"/>
    </row>
    <row r="31" ht="12" customHeight="1">
      <c r="C31" s="491"/>
      <c r="D31" s="491"/>
      <c r="E31" s="491"/>
      <c r="G31" s="172"/>
      <c r="H31" s="172"/>
      <c r="I31" s="172"/>
    </row>
    <row r="32" ht="12" customHeight="1">
      <c r="G32" s="172"/>
      <c r="H32" s="172"/>
      <c r="I32" s="172"/>
    </row>
    <row r="33" ht="12" customHeight="1" s="172" customFormat="1"/>
    <row r="34" ht="12" customHeight="1" s="172" customFormat="1"/>
    <row r="35" ht="12" customHeight="1" s="172" customFormat="1"/>
    <row r="36" ht="12" customHeight="1" s="172" customFormat="1"/>
    <row r="37" ht="12" customHeight="1" s="172" customFormat="1"/>
    <row r="38" ht="12" customHeight="1" s="172" customFormat="1"/>
    <row r="39" ht="12" customHeight="1" s="172" customFormat="1"/>
    <row r="40" ht="12" customHeight="1" s="172" customFormat="1"/>
    <row r="41" ht="12" customHeight="1" s="172" customFormat="1"/>
    <row r="42" ht="12" customHeight="1" s="172" customFormat="1"/>
    <row r="43" ht="12" customHeight="1" s="172" customFormat="1"/>
    <row r="44" ht="12" customHeight="1" s="172" customFormat="1"/>
    <row r="45" ht="12" customHeight="1" s="172" customFormat="1"/>
    <row r="46" ht="12" customHeight="1" s="172" customFormat="1"/>
  </sheetData>
  <sheetProtection sheet="1" objects="1" formatColumns="0" formatRows="0" password="CC3D"/>
  <mergeCells>
    <mergeCell ref="B7:C7"/>
    <mergeCell ref="B18:C18"/>
    <mergeCell ref="C29:E31"/>
  </mergeCells>
  <conditionalFormatting sqref="C10:C13 C15 C21:C23">
    <cfRule type="expression" dxfId="0" priority="8" stopIfTrue="1" text="null">
      <formula>LEN(TRIM(C10))=0</formula>
    </cfRule>
  </conditionalFormatting>
  <conditionalFormatting sqref="C25">
    <cfRule type="expression" dxfId="0" priority="7" stopIfTrue="1" text="null">
      <formula>LEN(TRIM(C25))=0</formula>
    </cfRule>
  </conditionalFormatting>
  <hyperlinks>
    <hyperlink ref="C29:E31" location="'3a-SalesForecastYear1'!A1" display="Return to Sales Forecast Year 1"/>
  </hyperlinks>
  <printOptions horizontalCentered="1"/>
  <pageMargins left="0.25" right="0.25" top="0.75" bottom="0.75" header="0.3" footer="0.3"/>
  <pageSetup useFirstPageNumber="1" paperSize="1" pageOrder="downThenOver" orientation="landscape"/>
  <headerFooter scaleWithDoc="0">
    <oddHeader>&amp;L&amp;C&amp;"Gill Sans MT,Regular"&amp;12COGS Calculator&amp;R</oddHeader>
    <oddFooter>&amp;L&amp;"Gill Sans MT,Regular"&amp;12&amp;F&amp;C&amp;"Gill Sans MT,Regular"&amp;12&amp;A&amp;R&amp;"Gill Sans MT,Regular"&amp;12 &amp;D &amp;T</oddFooter>
  </headerFooter>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7496D98-F9A8-7988-53E8-736BE3B3B488}" mc:Ignorable="x14ac xr xr2 xr3">
  <sheetPr>
    <tabColor rgb="FF339966"/>
  </sheetPr>
  <dimension ref="A1:GR50000"/>
  <sheetViews>
    <sheetView topLeftCell="A7" workbookViewId="0">
      <selection activeCell="E4" sqref="E4:G6"/>
    </sheetView>
  </sheetViews>
  <sheetFormatPr defaultRowHeight="12" defaultColWidth="9.140625" customHeight="1"/>
  <cols>
    <col min="1" max="1" style="95" width="9.140625" customWidth="1"/>
    <col min="2" max="2" style="95" width="27.7109375" customWidth="1"/>
    <col min="3" max="3" style="95" width="17.57421875" customWidth="1"/>
    <col min="4" max="10" style="95" width="9.7109375" customWidth="1"/>
    <col min="11" max="11" style="95" width="10.57421875" customWidth="1"/>
    <col min="12" max="14" style="95" width="9.7109375" customWidth="1"/>
    <col min="15" max="15" style="95" width="9.28125" customWidth="1"/>
    <col min="16" max="17" style="95" width="9.140625" customWidth="1"/>
  </cols>
  <sheetData>
    <row r="2" ht="12" customHeight="1">
      <c r="B2" s="90" t="s">
        <v>400</v>
      </c>
      <c r="C2" s="90"/>
      <c r="D2" s="90"/>
      <c r="E2" s="90"/>
    </row>
    <row r="3" ht="12" customHeight="1">
      <c r="B3" s="455"/>
    </row>
    <row r="4" ht="12" customHeight="1">
      <c r="B4" s="173" t="s">
        <v>19</v>
      </c>
      <c r="C4" s="173" t="s">
        <v>20</v>
      </c>
      <c r="E4" s="493" t="s">
        <v>401</v>
      </c>
      <c r="F4" s="493"/>
      <c r="G4" s="493"/>
    </row>
    <row r="5" ht="12" customHeight="1">
      <c r="B5" s="253" t="str">
        <f>IF(ISBLANK(Directions!C10),"Owner",Directions!C10)</f>
        <v>Owner</v>
      </c>
      <c r="C5" s="253" t="str">
        <f>IF(ISBLANK(Directions!D10),"Company 1",Directions!D10)</f>
        <v>Company 1</v>
      </c>
      <c r="E5" s="493"/>
      <c r="F5" s="493"/>
      <c r="G5" s="493"/>
    </row>
    <row r="6" ht="12" customHeight="1">
      <c r="E6" s="493"/>
      <c r="F6" s="493"/>
      <c r="G6" s="493"/>
    </row>
    <row r="8" ht="12.75" customHeight="1">
      <c r="B8" s="96" t="s">
        <v>59</v>
      </c>
      <c r="C8" s="96"/>
      <c r="D8" s="94"/>
      <c r="E8" s="94"/>
      <c r="F8" s="94"/>
      <c r="G8" s="94"/>
      <c r="H8" s="94"/>
      <c r="I8" s="94"/>
      <c r="J8" s="94"/>
      <c r="K8" s="94"/>
      <c r="L8" s="94"/>
      <c r="M8" s="94"/>
      <c r="N8" s="94"/>
      <c r="O8" s="94"/>
      <c r="P8" s="94"/>
    </row>
    <row r="9" ht="12.75" customHeight="1">
      <c r="B9" s="301" t="s">
        <v>402</v>
      </c>
      <c r="C9" s="457">
        <f>CommLoan</f>
        <v>0</v>
      </c>
      <c r="D9" s="94"/>
      <c r="E9" s="94"/>
      <c r="F9" s="94"/>
      <c r="G9" s="94"/>
      <c r="H9" s="94"/>
      <c r="I9" s="94"/>
      <c r="J9" s="94"/>
      <c r="K9" s="94"/>
      <c r="L9" s="94"/>
      <c r="M9" s="94"/>
      <c r="N9" s="94"/>
      <c r="O9" s="94"/>
      <c r="P9" s="94"/>
    </row>
    <row r="10" ht="12" customHeight="1">
      <c r="B10" s="114" t="s">
        <v>403</v>
      </c>
      <c r="C10" s="494">
        <f>'1-StartingPoint'!E37</f>
        <v>0.09</v>
      </c>
      <c r="D10" s="94"/>
      <c r="E10" s="94"/>
      <c r="F10" s="94"/>
      <c r="G10" s="94"/>
      <c r="H10" s="94"/>
      <c r="I10" s="94"/>
      <c r="J10" s="94"/>
      <c r="K10" s="94"/>
      <c r="L10" s="94"/>
      <c r="M10" s="94"/>
      <c r="N10" s="94"/>
      <c r="O10" s="94"/>
      <c r="P10" s="94"/>
    </row>
    <row r="11" ht="12" customHeight="1">
      <c r="B11" s="114" t="s">
        <v>404</v>
      </c>
      <c r="C11" s="495">
        <f>'1-StartingPoint'!F37</f>
        <v>84</v>
      </c>
      <c r="D11" s="94"/>
      <c r="E11" s="94"/>
      <c r="F11" s="94"/>
      <c r="G11" s="94"/>
      <c r="H11" s="94"/>
      <c r="I11" s="94"/>
      <c r="J11" s="94"/>
      <c r="K11" s="94"/>
      <c r="L11" s="94"/>
      <c r="M11" s="94"/>
      <c r="N11" s="94"/>
      <c r="O11" s="94"/>
      <c r="P11" s="94"/>
    </row>
    <row r="12" ht="12" customHeight="1">
      <c r="B12" s="114" t="s">
        <v>405</v>
      </c>
      <c r="C12" s="496">
        <f t="shared" si="3" ref="C12:C92">ABS(PMT(C10/12,C11,C9))</f>
        <v>0</v>
      </c>
      <c r="D12" s="94"/>
      <c r="E12" s="94"/>
      <c r="F12" s="94"/>
      <c r="G12" s="94"/>
      <c r="H12" s="94"/>
      <c r="I12" s="94"/>
      <c r="J12" s="94"/>
      <c r="K12" s="94"/>
      <c r="L12" s="94"/>
      <c r="M12" s="94"/>
      <c r="N12" s="94"/>
      <c r="O12" s="94"/>
      <c r="P12" s="94"/>
    </row>
    <row r="13" ht="12" customHeight="1">
      <c r="B13" s="114"/>
      <c r="C13" s="497" t="str">
        <f>'3a-SalesForecastYear1'!$C$16</f>
        <v>Month 1</v>
      </c>
      <c r="D13" s="497" t="str">
        <f>'3a-SalesForecastYear1'!$D$16</f>
        <v>Month 2</v>
      </c>
      <c r="E13" s="497" t="str">
        <f>'3a-SalesForecastYear1'!$E$16</f>
        <v>Month 3</v>
      </c>
      <c r="F13" s="497" t="str">
        <f>'3a-SalesForecastYear1'!$F$16</f>
        <v>Month 4</v>
      </c>
      <c r="G13" s="497" t="str">
        <f>'3a-SalesForecastYear1'!$G$16</f>
        <v>Month 5</v>
      </c>
      <c r="H13" s="497" t="str">
        <f>'3a-SalesForecastYear1'!$H$16</f>
        <v>Month 6</v>
      </c>
      <c r="I13" s="497" t="str">
        <f>'3a-SalesForecastYear1'!$I$16</f>
        <v>Month 7</v>
      </c>
      <c r="J13" s="497" t="str">
        <f>'3a-SalesForecastYear1'!$J$16</f>
        <v>Month 8</v>
      </c>
      <c r="K13" s="497" t="str">
        <f>'3a-SalesForecastYear1'!$K$16</f>
        <v>Month 9</v>
      </c>
      <c r="L13" s="497" t="str">
        <f>'3a-SalesForecastYear1'!$L$16</f>
        <v>Month 10</v>
      </c>
      <c r="M13" s="497" t="str">
        <f>'3a-SalesForecastYear1'!$M$16</f>
        <v>Month 11</v>
      </c>
      <c r="N13" s="497" t="str">
        <f>'3a-SalesForecastYear1'!$N$16</f>
        <v>Month 12</v>
      </c>
      <c r="O13" s="497" t="s">
        <v>52</v>
      </c>
      <c r="P13" s="94"/>
      <c r="Q13" s="94"/>
    </row>
    <row r="14" ht="12" customHeight="1">
      <c r="B14" s="114" t="s">
        <v>309</v>
      </c>
      <c r="C14" s="105"/>
      <c r="D14" s="105"/>
      <c r="E14" s="105"/>
      <c r="F14" s="105"/>
      <c r="G14" s="105"/>
      <c r="H14" s="105"/>
      <c r="I14" s="105"/>
      <c r="J14" s="105"/>
      <c r="K14" s="105"/>
      <c r="L14" s="105"/>
      <c r="M14" s="105"/>
      <c r="N14" s="105"/>
      <c r="O14" s="105"/>
      <c r="P14" s="94"/>
      <c r="Q14" s="94"/>
    </row>
    <row r="15" ht="12" customHeight="1">
      <c r="B15" s="462" t="s">
        <v>210</v>
      </c>
      <c r="C15" s="365">
        <f>IF($C$11&lt;1,0,ABS(IPMT($C$10/12,1,$C$11,$C$9)))</f>
        <v>0</v>
      </c>
      <c r="D15" s="365">
        <f>IF($C$11&lt;2,0,ABS(IPMT($C$10/12,2,$C$11,$C$9)))</f>
        <v>0</v>
      </c>
      <c r="E15" s="365">
        <f>IF($C$11&lt;3,0,ABS(IPMT($C$10/12,3,$C$11,$C$9)))</f>
        <v>0</v>
      </c>
      <c r="F15" s="365">
        <f>IF($C$11&lt;4,0,ABS(IPMT($C$10/12,4,$C$11,$C$9)))</f>
        <v>0</v>
      </c>
      <c r="G15" s="365">
        <f>IF($C$11&lt;5,0,ABS(IPMT($C$10/12,5,$C$11,$C$9)))</f>
        <v>0</v>
      </c>
      <c r="H15" s="365">
        <f>IF($C$11&lt;6,0,ABS(IPMT($C$10/12,6,$C$11,$C$9)))</f>
        <v>0</v>
      </c>
      <c r="I15" s="365">
        <f>IF($C$11&lt;7,0,ABS(IPMT($C$10/12,7,$C$11,$C$9)))</f>
        <v>0</v>
      </c>
      <c r="J15" s="365">
        <f>IF($C$11&lt;8,0,ABS(IPMT($C$10/12,8,$C$11,$C$9)))</f>
        <v>0</v>
      </c>
      <c r="K15" s="365">
        <f>IF($C$11&lt;9,0,ABS(IPMT($C$10/12,9,$C$11,$C$9)))</f>
        <v>0</v>
      </c>
      <c r="L15" s="365">
        <f>IF($C$11&lt;10,0,ABS(IPMT($C$10/12,10,$C$11,$C$9)))</f>
        <v>0</v>
      </c>
      <c r="M15" s="365">
        <f>IF($C$11&lt;11,0,ABS(IPMT($C$10/12,11,$C$11,$C$9)))</f>
        <v>0</v>
      </c>
      <c r="N15" s="365">
        <f>IF($C$11&lt;12,0,ABS(IPMT($C$10/12,12,$C$11,$C$9)))</f>
        <v>0</v>
      </c>
      <c r="O15" s="498">
        <f t="shared" si="0" ref="O15:O155">SUM(C15:N15)</f>
        <v>0</v>
      </c>
      <c r="P15" s="94"/>
      <c r="Q15" s="94"/>
    </row>
    <row r="16" ht="12" customHeight="1">
      <c r="B16" s="462" t="s">
        <v>406</v>
      </c>
      <c r="C16" s="365">
        <f>IF($C$11&lt;1,0,ABS(PPMT($C$10/12,1,$C$11,$C$9)))</f>
        <v>0</v>
      </c>
      <c r="D16" s="365">
        <f>IF($C$11&lt;2,0,ABS(PPMT($C$10/12,2,$C$11,$C$9)))</f>
        <v>0</v>
      </c>
      <c r="E16" s="365">
        <f>IF($C$11&lt;3,0,ABS(PPMT($C$10/12,3,$C$11,$C$9)))</f>
        <v>0</v>
      </c>
      <c r="F16" s="365">
        <f>IF($C$11&lt;4,0,ABS(PPMT($C$10/12,4,$C$11,$C$9)))</f>
        <v>0</v>
      </c>
      <c r="G16" s="365">
        <f>IF($C$11&lt;5,0,ABS(PPMT($C$10/12,5,$C$11,$C$9)))</f>
        <v>0</v>
      </c>
      <c r="H16" s="365">
        <f>IF($C$11&lt;6,0,ABS(PPMT($C$10/12,6,$C$11,$C$9)))</f>
        <v>0</v>
      </c>
      <c r="I16" s="365">
        <f>IF($C$11&lt;7,0,ABS(PPMT($C$10/12,7,$C$11,$C$9)))</f>
        <v>0</v>
      </c>
      <c r="J16" s="365">
        <f>IF($C$11&lt;8,0,ABS(PPMT($C$10/12,8,$C$11,$C$9)))</f>
        <v>0</v>
      </c>
      <c r="K16" s="365">
        <f>IF($C$11&lt;9,0,ABS(PPMT($C$10/12,9,$C$11,$C$9)))</f>
        <v>0</v>
      </c>
      <c r="L16" s="365">
        <f>IF($C$11&lt;10,0,ABS(PPMT($C$10/12,10,$C$11,$C$9)))</f>
        <v>0</v>
      </c>
      <c r="M16" s="365">
        <f>IF($C$11&lt;11,0,ABS(PPMT($C$10/12,11,$C$11,$C$9)))</f>
        <v>0</v>
      </c>
      <c r="N16" s="365">
        <f>IF($C$11&lt;12,0,ABS(PPMT($C$10/12,12,$C$11,$C$9)))</f>
        <v>0</v>
      </c>
      <c r="O16" s="498">
        <f t="shared" si="0"/>
        <v>0</v>
      </c>
      <c r="P16" s="94"/>
      <c r="Q16" s="94"/>
    </row>
    <row r="17" ht="12" customHeight="1">
      <c r="B17" s="462" t="s">
        <v>407</v>
      </c>
      <c r="C17" s="499">
        <f>$C$9-C16</f>
        <v>0</v>
      </c>
      <c r="D17" s="499">
        <f t="shared" si="1" ref="D17:N105">C17-D16</f>
        <v>0</v>
      </c>
      <c r="E17" s="499">
        <f t="shared" si="1"/>
        <v>0</v>
      </c>
      <c r="F17" s="499">
        <f t="shared" si="1"/>
        <v>0</v>
      </c>
      <c r="G17" s="499">
        <f t="shared" si="1"/>
        <v>0</v>
      </c>
      <c r="H17" s="499">
        <f t="shared" si="1"/>
        <v>0</v>
      </c>
      <c r="I17" s="499">
        <f t="shared" si="1"/>
        <v>0</v>
      </c>
      <c r="J17" s="499">
        <f t="shared" si="1"/>
        <v>0</v>
      </c>
      <c r="K17" s="499">
        <f t="shared" si="1"/>
        <v>0</v>
      </c>
      <c r="L17" s="499">
        <f t="shared" si="1"/>
        <v>0</v>
      </c>
      <c r="M17" s="499">
        <f t="shared" si="1"/>
        <v>0</v>
      </c>
      <c r="N17" s="499">
        <f t="shared" si="1"/>
        <v>0</v>
      </c>
      <c r="O17" s="500"/>
      <c r="P17" s="94"/>
      <c r="Q17" s="94"/>
    </row>
    <row r="18" ht="12" customHeight="1">
      <c r="B18" s="114" t="s">
        <v>310</v>
      </c>
      <c r="C18" s="501"/>
      <c r="D18" s="501"/>
      <c r="E18" s="501"/>
      <c r="F18" s="501"/>
      <c r="G18" s="501"/>
      <c r="H18" s="501"/>
      <c r="I18" s="501"/>
      <c r="J18" s="501"/>
      <c r="K18" s="501"/>
      <c r="L18" s="501"/>
      <c r="M18" s="501"/>
      <c r="N18" s="501"/>
      <c r="O18" s="501"/>
      <c r="P18" s="94"/>
      <c r="Q18" s="94"/>
    </row>
    <row r="19" ht="12" customHeight="1">
      <c r="B19" s="462" t="s">
        <v>210</v>
      </c>
      <c r="C19" s="365">
        <f>IF($C$11&lt;13,0,ABS(IPMT($C$10/12,13,$C$11,$C$9)))</f>
        <v>0</v>
      </c>
      <c r="D19" s="365">
        <f>IF($C$11&lt;14,0,ABS(IPMT($C$10/12,14,$C$11,$C$9)))</f>
        <v>0</v>
      </c>
      <c r="E19" s="365">
        <f>IF($C$11&lt;15,0,ABS(IPMT($C$10/12,15,$C$11,$C$9)))</f>
        <v>0</v>
      </c>
      <c r="F19" s="365">
        <f>IF($C$11&lt;16,0,ABS(IPMT($C$10/12,16,$C$11,$C$9)))</f>
        <v>0</v>
      </c>
      <c r="G19" s="365">
        <f>IF($C$11&lt;17,0,ABS(IPMT($C$10/12,17,$C$11,$C$9)))</f>
        <v>0</v>
      </c>
      <c r="H19" s="365">
        <f>IF($C$11&lt;18,0,ABS(IPMT($C$10/12,18,$C$11,$C$9)))</f>
        <v>0</v>
      </c>
      <c r="I19" s="365">
        <f>IF($C$11&lt;19,0,ABS(IPMT($C$10/12,19,$C$11,$C$9)))</f>
        <v>0</v>
      </c>
      <c r="J19" s="365">
        <f>IF($C$11&lt;20,0,ABS(IPMT($C$10/12,20,$C$11,$C$9)))</f>
        <v>0</v>
      </c>
      <c r="K19" s="365">
        <f>IF($C$11&lt;21,0,ABS(IPMT($C$10/12,21,$C$11,$C$9)))</f>
        <v>0</v>
      </c>
      <c r="L19" s="365">
        <f>IF($C$11&lt;22,0,ABS(IPMT($C$10/12,22,$C$11,$C$9)))</f>
        <v>0</v>
      </c>
      <c r="M19" s="365">
        <f>IF($C$11&lt;23,0,ABS(IPMT($C$10/12,23,$C$11,$C$9)))</f>
        <v>0</v>
      </c>
      <c r="N19" s="365">
        <f>IF($C$11&lt;24,0,ABS(IPMT($C$10/12,24,$C$11,$C$9)))</f>
        <v>0</v>
      </c>
      <c r="O19" s="498">
        <f t="shared" si="0"/>
        <v>0</v>
      </c>
      <c r="P19" s="94"/>
      <c r="Q19" s="94"/>
    </row>
    <row r="20" ht="12" customHeight="1">
      <c r="B20" s="462" t="s">
        <v>406</v>
      </c>
      <c r="C20" s="365">
        <f>IF($C$11&lt;13,0,ABS(PPMT($C$10/12,13,$C$11,$C$9)))</f>
        <v>0</v>
      </c>
      <c r="D20" s="365">
        <f>IF($C$11&lt;14,0,ABS(PPMT($C$10/12,14,$C$11,$C$9)))</f>
        <v>0</v>
      </c>
      <c r="E20" s="365">
        <f>IF($C$11&lt;15,0,ABS(PPMT($C$10/12,15,$C$11,$C$9)))</f>
        <v>0</v>
      </c>
      <c r="F20" s="365">
        <f>IF($C$11&lt;16,0,ABS(PPMT($C$10/12,16,$C$11,$C$9)))</f>
        <v>0</v>
      </c>
      <c r="G20" s="365">
        <f>IF($C$11&lt;17,0,ABS(PPMT($C$10/12,17,$C$11,$C$9)))</f>
        <v>0</v>
      </c>
      <c r="H20" s="365">
        <f>IF($C$11&lt;18,0,ABS(PPMT($C$10/12,18,$C$11,$C$9)))</f>
        <v>0</v>
      </c>
      <c r="I20" s="365">
        <f>IF($C$11&lt;19,0,ABS(PPMT($C$10/12,19,$C$11,$C$9)))</f>
        <v>0</v>
      </c>
      <c r="J20" s="365">
        <f>IF($C$11&lt;20,0,ABS(PPMT($C$10/12,20,$C$11,$C$9)))</f>
        <v>0</v>
      </c>
      <c r="K20" s="365">
        <f>IF($C$11&lt;21,0,ABS(PPMT($C$10/12,21,$C$11,$C$9)))</f>
        <v>0</v>
      </c>
      <c r="L20" s="365">
        <f>IF($C$11&lt;22,0,ABS(PPMT($C$10/12,22,$C$11,$C$9)))</f>
        <v>0</v>
      </c>
      <c r="M20" s="365">
        <f>IF($C$11&lt;23,0,ABS(PPMT($C$10/12,23,$C$11,$C$9)))</f>
        <v>0</v>
      </c>
      <c r="N20" s="365">
        <f>IF($C$11&lt;24,0,ABS(PPMT($C$10/12,24,$C$11,$C$9)))</f>
        <v>0</v>
      </c>
      <c r="O20" s="498">
        <f t="shared" si="0"/>
        <v>0</v>
      </c>
      <c r="P20" s="94"/>
      <c r="Q20" s="94"/>
    </row>
    <row r="21" ht="12" customHeight="1">
      <c r="B21" s="462" t="s">
        <v>407</v>
      </c>
      <c r="C21" s="499">
        <f t="shared" si="2" ref="C21:C105">N17-C20</f>
        <v>0</v>
      </c>
      <c r="D21" s="499">
        <f t="shared" si="1"/>
        <v>0</v>
      </c>
      <c r="E21" s="499">
        <f t="shared" si="1"/>
        <v>0</v>
      </c>
      <c r="F21" s="499">
        <f t="shared" si="1"/>
        <v>0</v>
      </c>
      <c r="G21" s="499">
        <f t="shared" si="1"/>
        <v>0</v>
      </c>
      <c r="H21" s="499">
        <f t="shared" si="1"/>
        <v>0</v>
      </c>
      <c r="I21" s="499">
        <f t="shared" si="1"/>
        <v>0</v>
      </c>
      <c r="J21" s="499">
        <f t="shared" si="1"/>
        <v>0</v>
      </c>
      <c r="K21" s="499">
        <f t="shared" si="1"/>
        <v>0</v>
      </c>
      <c r="L21" s="499">
        <f t="shared" si="1"/>
        <v>0</v>
      </c>
      <c r="M21" s="499">
        <f t="shared" si="1"/>
        <v>0</v>
      </c>
      <c r="N21" s="499">
        <f t="shared" si="1"/>
        <v>0</v>
      </c>
      <c r="O21" s="500"/>
      <c r="P21" s="94"/>
      <c r="Q21" s="94"/>
    </row>
    <row r="22" ht="12" customHeight="1">
      <c r="B22" s="114" t="s">
        <v>311</v>
      </c>
      <c r="C22" s="501"/>
      <c r="D22" s="501"/>
      <c r="E22" s="501"/>
      <c r="F22" s="501"/>
      <c r="G22" s="501"/>
      <c r="H22" s="501"/>
      <c r="I22" s="501"/>
      <c r="J22" s="501"/>
      <c r="K22" s="501"/>
      <c r="L22" s="501"/>
      <c r="M22" s="501"/>
      <c r="N22" s="501"/>
      <c r="O22" s="501"/>
      <c r="P22" s="94"/>
      <c r="Q22" s="94"/>
    </row>
    <row r="23" ht="12" customHeight="1">
      <c r="B23" s="462" t="s">
        <v>210</v>
      </c>
      <c r="C23" s="365">
        <f>IF($C$11&lt;25,0,ABS(IPMT($C$10/12,25,$C$11,$C$9)))</f>
        <v>0</v>
      </c>
      <c r="D23" s="365">
        <f>IF($C$11&lt;26,0,ABS(IPMT($C$10/12,26,$C$11,$C$9)))</f>
        <v>0</v>
      </c>
      <c r="E23" s="365">
        <f>IF($C$11&lt;27,0,ABS(IPMT($C$10/12,27,$C$11,$C$9)))</f>
        <v>0</v>
      </c>
      <c r="F23" s="365">
        <f>IF($C$11&lt;28,0,ABS(IPMT($C$10/12,28,$C$11,$C$9)))</f>
        <v>0</v>
      </c>
      <c r="G23" s="365">
        <f>IF($C$11&lt;29,0,ABS(IPMT($C$10/12,29,$C$11,$C$9)))</f>
        <v>0</v>
      </c>
      <c r="H23" s="365">
        <f>IF($C$11&lt;30,0,ABS(IPMT($C$10/12,30,$C$11,$C$9)))</f>
        <v>0</v>
      </c>
      <c r="I23" s="365">
        <f>IF($C$11&lt;31,0,ABS(IPMT($C$10/12,31,$C$11,$C$9)))</f>
        <v>0</v>
      </c>
      <c r="J23" s="365">
        <f>IF($C$11&lt;32,0,ABS(IPMT($C$10/12,32,$C$11,$C$9)))</f>
        <v>0</v>
      </c>
      <c r="K23" s="365">
        <f>IF($C$11&lt;33,0,ABS(IPMT($C$10/12,33,$C$11,$C$9)))</f>
        <v>0</v>
      </c>
      <c r="L23" s="365">
        <f>IF($C$11&lt;34,0,ABS(IPMT($C$10/12,34,$C$11,$C$9)))</f>
        <v>0</v>
      </c>
      <c r="M23" s="365">
        <f>IF($C$11&lt;35,0,ABS(IPMT($C$10/12,35,$C$11,$C$9)))</f>
        <v>0</v>
      </c>
      <c r="N23" s="365">
        <f>IF($C$11&lt;36,0,ABS(IPMT($C$10/12,36,$C$11,$C$9)))</f>
        <v>0</v>
      </c>
      <c r="O23" s="498">
        <f t="shared" si="0"/>
        <v>0</v>
      </c>
      <c r="P23" s="94"/>
      <c r="Q23" s="94"/>
    </row>
    <row r="24" ht="12" customHeight="1">
      <c r="B24" s="462" t="s">
        <v>406</v>
      </c>
      <c r="C24" s="365">
        <f>IF($C$11&lt;25,0,ABS(PPMT($C$10/12,25,$C$11,$C$9)))</f>
        <v>0</v>
      </c>
      <c r="D24" s="365">
        <f>IF($C$11&lt;26,0,ABS(PPMT($C$10/12,26,$C$11,$C$9)))</f>
        <v>0</v>
      </c>
      <c r="E24" s="365">
        <f>IF($C$11&lt;27,0,ABS(PPMT($C$10/12,27,$C$11,$C$9)))</f>
        <v>0</v>
      </c>
      <c r="F24" s="365">
        <f>IF($C$11&lt;28,0,ABS(PPMT($C$10/12,28,$C$11,$C$9)))</f>
        <v>0</v>
      </c>
      <c r="G24" s="365">
        <f>IF($C$11&lt;29,0,ABS(PPMT($C$10/12,29,$C$11,$C$9)))</f>
        <v>0</v>
      </c>
      <c r="H24" s="365">
        <f>IF($C$11&lt;30,0,ABS(PPMT($C$10/12,30,$C$11,$C$9)))</f>
        <v>0</v>
      </c>
      <c r="I24" s="365">
        <f>IF($C$11&lt;31,0,ABS(PPMT($C$10/12,31,$C$11,$C$9)))</f>
        <v>0</v>
      </c>
      <c r="J24" s="365">
        <f>IF($C$11&lt;32,0,ABS(PPMT($C$10/12,32,$C$11,$C$9)))</f>
        <v>0</v>
      </c>
      <c r="K24" s="365">
        <f>IF($C$11&lt;33,0,ABS(PPMT($C$10/12,33,$C$11,$C$9)))</f>
        <v>0</v>
      </c>
      <c r="L24" s="365">
        <f>IF($C$11&lt;34,0,ABS(PPMT($C$10/12,34,$C$11,$C$9)))</f>
        <v>0</v>
      </c>
      <c r="M24" s="365">
        <f>IF($C$11&lt;35,0,ABS(PPMT($C$10/12,35,$C$11,$C$9)))</f>
        <v>0</v>
      </c>
      <c r="N24" s="365">
        <f>IF($C$11&lt;36,0,ABS(PPMT($C$10/12,36,$C$11,$C$9)))</f>
        <v>0</v>
      </c>
      <c r="O24" s="498">
        <f t="shared" si="0"/>
        <v>0</v>
      </c>
      <c r="P24" s="94"/>
      <c r="Q24" s="94"/>
    </row>
    <row r="25" ht="12" customHeight="1">
      <c r="B25" s="462" t="s">
        <v>407</v>
      </c>
      <c r="C25" s="499">
        <f t="shared" si="2"/>
        <v>0</v>
      </c>
      <c r="D25" s="499">
        <f t="shared" si="1"/>
        <v>0</v>
      </c>
      <c r="E25" s="499">
        <f t="shared" si="1"/>
        <v>0</v>
      </c>
      <c r="F25" s="499">
        <f t="shared" si="1"/>
        <v>0</v>
      </c>
      <c r="G25" s="499">
        <f t="shared" si="1"/>
        <v>0</v>
      </c>
      <c r="H25" s="499">
        <f t="shared" si="1"/>
        <v>0</v>
      </c>
      <c r="I25" s="499">
        <f t="shared" si="1"/>
        <v>0</v>
      </c>
      <c r="J25" s="499">
        <f t="shared" si="1"/>
        <v>0</v>
      </c>
      <c r="K25" s="499">
        <f t="shared" si="1"/>
        <v>0</v>
      </c>
      <c r="L25" s="499">
        <f t="shared" si="1"/>
        <v>0</v>
      </c>
      <c r="M25" s="499">
        <f t="shared" si="1"/>
        <v>0</v>
      </c>
      <c r="N25" s="499">
        <f t="shared" si="1"/>
        <v>0</v>
      </c>
      <c r="O25" s="500"/>
      <c r="P25" s="94"/>
      <c r="Q25" s="94"/>
    </row>
    <row r="26" ht="12" customHeight="1">
      <c r="B26" s="89"/>
      <c r="C26" s="89"/>
      <c r="D26" s="94"/>
      <c r="E26" s="94"/>
      <c r="F26" s="94"/>
      <c r="G26" s="94"/>
      <c r="H26" s="94"/>
      <c r="I26" s="94"/>
      <c r="J26" s="94"/>
      <c r="K26" s="94"/>
      <c r="L26" s="94"/>
      <c r="M26" s="94"/>
      <c r="N26" s="94"/>
      <c r="O26" s="94"/>
      <c r="P26" s="94"/>
      <c r="Q26" s="94"/>
    </row>
    <row r="27" ht="12" customHeight="1">
      <c r="B27" s="89"/>
      <c r="C27" s="89"/>
      <c r="D27" s="465"/>
      <c r="E27" s="94"/>
      <c r="F27" s="94"/>
      <c r="G27" s="94"/>
      <c r="H27" s="94"/>
      <c r="I27" s="94"/>
      <c r="J27" s="94"/>
      <c r="K27" s="94"/>
      <c r="L27" s="94"/>
      <c r="M27" s="94"/>
      <c r="N27" s="94"/>
      <c r="O27" s="94"/>
      <c r="P27" s="94"/>
      <c r="Q27" s="94"/>
    </row>
    <row r="28" ht="12.75" customHeight="1">
      <c r="B28" s="96" t="s">
        <v>60</v>
      </c>
      <c r="C28" s="96"/>
      <c r="D28" s="94"/>
      <c r="E28" s="94"/>
      <c r="F28" s="94"/>
      <c r="G28" s="94"/>
      <c r="H28" s="94"/>
      <c r="I28" s="94"/>
      <c r="J28" s="94"/>
      <c r="K28" s="94"/>
      <c r="L28" s="94"/>
      <c r="M28" s="94"/>
      <c r="N28" s="94"/>
      <c r="O28" s="94"/>
      <c r="P28" s="94"/>
      <c r="Q28" s="94"/>
    </row>
    <row r="29" ht="12.75" customHeight="1">
      <c r="B29" s="301" t="s">
        <v>402</v>
      </c>
      <c r="C29" s="502">
        <f>CommMortgage</f>
        <v>0</v>
      </c>
      <c r="D29" s="94"/>
      <c r="E29" s="94"/>
      <c r="F29" s="94"/>
      <c r="G29" s="94"/>
      <c r="H29" s="94"/>
      <c r="I29" s="94"/>
      <c r="J29" s="94"/>
      <c r="K29" s="94"/>
      <c r="L29" s="94"/>
      <c r="M29" s="94"/>
      <c r="N29" s="94"/>
      <c r="O29" s="94"/>
      <c r="P29" s="94"/>
      <c r="Q29" s="94"/>
    </row>
    <row r="30" ht="12" customHeight="1">
      <c r="B30" s="114" t="s">
        <v>403</v>
      </c>
      <c r="C30" s="494">
        <f>'1-StartingPoint'!E38</f>
        <v>0.09</v>
      </c>
      <c r="D30" s="94"/>
      <c r="E30" s="94"/>
      <c r="F30" s="94"/>
      <c r="G30" s="94"/>
      <c r="H30" s="94"/>
      <c r="I30" s="94"/>
      <c r="J30" s="94"/>
      <c r="K30" s="94"/>
      <c r="L30" s="94"/>
      <c r="M30" s="94"/>
      <c r="N30" s="94"/>
      <c r="O30" s="94"/>
      <c r="P30" s="94"/>
      <c r="Q30" s="94"/>
    </row>
    <row r="31" ht="12" customHeight="1">
      <c r="B31" s="114" t="s">
        <v>404</v>
      </c>
      <c r="C31" s="495">
        <f>'1-StartingPoint'!F38</f>
        <v>240</v>
      </c>
      <c r="D31" s="94"/>
      <c r="E31" s="94"/>
      <c r="F31" s="94"/>
      <c r="G31" s="94"/>
      <c r="H31" s="94"/>
      <c r="I31" s="94"/>
      <c r="J31" s="94"/>
      <c r="K31" s="94"/>
      <c r="L31" s="94"/>
      <c r="M31" s="94"/>
      <c r="N31" s="94"/>
      <c r="O31" s="94"/>
      <c r="P31" s="94"/>
      <c r="Q31" s="94"/>
    </row>
    <row r="32" ht="12" customHeight="1">
      <c r="B32" s="114" t="s">
        <v>405</v>
      </c>
      <c r="C32" s="496">
        <f t="shared" si="3"/>
        <v>0</v>
      </c>
      <c r="D32" s="94"/>
      <c r="E32" s="94"/>
      <c r="F32" s="94"/>
      <c r="G32" s="94"/>
      <c r="H32" s="94"/>
      <c r="I32" s="94"/>
      <c r="J32" s="94"/>
      <c r="K32" s="94"/>
      <c r="L32" s="94"/>
      <c r="M32" s="94"/>
      <c r="N32" s="94"/>
      <c r="O32" s="94"/>
      <c r="P32" s="94"/>
      <c r="Q32" s="94"/>
    </row>
    <row r="33" ht="12" customHeight="1">
      <c r="B33" s="114"/>
      <c r="C33" s="497" t="str">
        <f>'3a-SalesForecastYear1'!$C$16</f>
        <v>Month 1</v>
      </c>
      <c r="D33" s="497" t="str">
        <f>'3a-SalesForecastYear1'!$D$16</f>
        <v>Month 2</v>
      </c>
      <c r="E33" s="497" t="str">
        <f>'3a-SalesForecastYear1'!$E$16</f>
        <v>Month 3</v>
      </c>
      <c r="F33" s="497" t="str">
        <f>'3a-SalesForecastYear1'!$F$16</f>
        <v>Month 4</v>
      </c>
      <c r="G33" s="497" t="str">
        <f>'3a-SalesForecastYear1'!$G$16</f>
        <v>Month 5</v>
      </c>
      <c r="H33" s="497" t="str">
        <f>'3a-SalesForecastYear1'!$H$16</f>
        <v>Month 6</v>
      </c>
      <c r="I33" s="497" t="str">
        <f>'3a-SalesForecastYear1'!$I$16</f>
        <v>Month 7</v>
      </c>
      <c r="J33" s="497" t="str">
        <f>'3a-SalesForecastYear1'!$J$16</f>
        <v>Month 8</v>
      </c>
      <c r="K33" s="497" t="str">
        <f>'3a-SalesForecastYear1'!$K$16</f>
        <v>Month 9</v>
      </c>
      <c r="L33" s="497" t="str">
        <f>'3a-SalesForecastYear1'!$L$16</f>
        <v>Month 10</v>
      </c>
      <c r="M33" s="497" t="str">
        <f>'3a-SalesForecastYear1'!$M$16</f>
        <v>Month 11</v>
      </c>
      <c r="N33" s="497" t="str">
        <f>'3a-SalesForecastYear1'!$N$16</f>
        <v>Month 12</v>
      </c>
      <c r="O33" s="497" t="s">
        <v>52</v>
      </c>
      <c r="P33" s="94"/>
      <c r="Q33" s="94"/>
    </row>
    <row r="34" ht="12" customHeight="1">
      <c r="B34" s="114" t="s">
        <v>309</v>
      </c>
      <c r="C34" s="105"/>
      <c r="D34" s="105"/>
      <c r="E34" s="105"/>
      <c r="F34" s="105"/>
      <c r="G34" s="105"/>
      <c r="H34" s="105"/>
      <c r="I34" s="105"/>
      <c r="J34" s="105"/>
      <c r="K34" s="105"/>
      <c r="L34" s="105"/>
      <c r="M34" s="105"/>
      <c r="N34" s="105"/>
      <c r="O34" s="105"/>
      <c r="P34" s="94"/>
      <c r="Q34" s="94"/>
    </row>
    <row r="35" ht="12" customHeight="1">
      <c r="B35" s="462" t="s">
        <v>210</v>
      </c>
      <c r="C35" s="365">
        <f>ABS(IPMT($C$30/12,1,$C$31,$C$29))</f>
        <v>0</v>
      </c>
      <c r="D35" s="365">
        <f>ABS(IPMT($C$30/12,2,$C$31,$C$29))</f>
        <v>0</v>
      </c>
      <c r="E35" s="365">
        <f>ABS(IPMT($C$30/12,3,$C$31,$C$29))</f>
        <v>0</v>
      </c>
      <c r="F35" s="365">
        <f>ABS(IPMT($C$30/12,4,$C$31,$C$29))</f>
        <v>0</v>
      </c>
      <c r="G35" s="365">
        <f>ABS(IPMT($C$30/12,5,$C$31,$C$29))</f>
        <v>0</v>
      </c>
      <c r="H35" s="365">
        <f>ABS(IPMT($C$30/12,6,$C$31,$C$29))</f>
        <v>0</v>
      </c>
      <c r="I35" s="365">
        <f>ABS(IPMT($C$30/12,7,$C$31,$C$29))</f>
        <v>0</v>
      </c>
      <c r="J35" s="365">
        <f>ABS(IPMT($C$30/12,8,$C$31,$C$29))</f>
        <v>0</v>
      </c>
      <c r="K35" s="365">
        <f>ABS(IPMT($C$30/12,9,$C$31,$C$29))</f>
        <v>0</v>
      </c>
      <c r="L35" s="365">
        <f>ABS(IPMT($C$30/12,10,$C$31,$C$29))</f>
        <v>0</v>
      </c>
      <c r="M35" s="365">
        <f>ABS(IPMT($C$30/12,11,$C$31,$C$29))</f>
        <v>0</v>
      </c>
      <c r="N35" s="365">
        <f>ABS(IPMT($C$30/12,12,$C$31,$C$29))</f>
        <v>0</v>
      </c>
      <c r="O35" s="498">
        <f t="shared" si="0"/>
        <v>0</v>
      </c>
      <c r="P35" s="94"/>
      <c r="Q35" s="94"/>
    </row>
    <row r="36" ht="12" customHeight="1">
      <c r="B36" s="462" t="s">
        <v>406</v>
      </c>
      <c r="C36" s="365">
        <f>ABS(PPMT($C$30/12,1,$C$31,$C$29))</f>
        <v>0</v>
      </c>
      <c r="D36" s="365">
        <f>ABS(PPMT($C$30/12,2,$C$31,$C$29))</f>
        <v>0</v>
      </c>
      <c r="E36" s="365">
        <f>ABS(PPMT($C$30/12,3,$C$31,$C$29))</f>
        <v>0</v>
      </c>
      <c r="F36" s="365">
        <f>ABS(PPMT($C$30/12,4,$C$31,$C$29))</f>
        <v>0</v>
      </c>
      <c r="G36" s="365">
        <f>ABS(PPMT($C$30/12,5,$C$31,$C$29))</f>
        <v>0</v>
      </c>
      <c r="H36" s="365">
        <f>ABS(PPMT($C$30/12,6,$C$31,$C$29))</f>
        <v>0</v>
      </c>
      <c r="I36" s="365">
        <f>ABS(PPMT($C$30/12,7,$C$31,$C$29))</f>
        <v>0</v>
      </c>
      <c r="J36" s="365">
        <f>ABS(PPMT($C$30/12,8,$C$31,$C$29))</f>
        <v>0</v>
      </c>
      <c r="K36" s="365">
        <f>ABS(PPMT($C$30/12,9,$C$31,$C$29))</f>
        <v>0</v>
      </c>
      <c r="L36" s="365">
        <f>ABS(PPMT($C$30/12,10,$C$31,$C$29))</f>
        <v>0</v>
      </c>
      <c r="M36" s="365">
        <f>ABS(PPMT($C$30/12,11,$C$31,$C$29))</f>
        <v>0</v>
      </c>
      <c r="N36" s="365">
        <f>ABS(PPMT($C$30/12,12,$C$31,$C$29))</f>
        <v>0</v>
      </c>
      <c r="O36" s="498">
        <f t="shared" si="0"/>
        <v>0</v>
      </c>
      <c r="P36" s="94"/>
      <c r="Q36" s="94"/>
    </row>
    <row r="37" ht="12" customHeight="1">
      <c r="B37" s="462" t="s">
        <v>407</v>
      </c>
      <c r="C37" s="499">
        <f>$C$29-C36</f>
        <v>0</v>
      </c>
      <c r="D37" s="499">
        <f t="shared" si="1"/>
        <v>0</v>
      </c>
      <c r="E37" s="499">
        <f t="shared" si="1"/>
        <v>0</v>
      </c>
      <c r="F37" s="499">
        <f t="shared" si="1"/>
        <v>0</v>
      </c>
      <c r="G37" s="499">
        <f t="shared" si="1"/>
        <v>0</v>
      </c>
      <c r="H37" s="499">
        <f t="shared" si="1"/>
        <v>0</v>
      </c>
      <c r="I37" s="499">
        <f t="shared" si="1"/>
        <v>0</v>
      </c>
      <c r="J37" s="499">
        <f t="shared" si="1"/>
        <v>0</v>
      </c>
      <c r="K37" s="499">
        <f t="shared" si="1"/>
        <v>0</v>
      </c>
      <c r="L37" s="499">
        <f t="shared" si="1"/>
        <v>0</v>
      </c>
      <c r="M37" s="499">
        <f t="shared" si="1"/>
        <v>0</v>
      </c>
      <c r="N37" s="499">
        <f t="shared" si="1"/>
        <v>0</v>
      </c>
      <c r="O37" s="500"/>
      <c r="P37" s="94"/>
      <c r="Q37" s="94"/>
    </row>
    <row r="38" ht="12" customHeight="1">
      <c r="B38" s="114" t="s">
        <v>310</v>
      </c>
      <c r="C38" s="501"/>
      <c r="D38" s="501"/>
      <c r="E38" s="501"/>
      <c r="F38" s="501"/>
      <c r="G38" s="501"/>
      <c r="H38" s="501"/>
      <c r="I38" s="501"/>
      <c r="J38" s="501"/>
      <c r="K38" s="501"/>
      <c r="L38" s="501"/>
      <c r="M38" s="501"/>
      <c r="N38" s="501"/>
      <c r="O38" s="501"/>
      <c r="P38" s="94"/>
      <c r="Q38" s="94"/>
    </row>
    <row r="39" ht="12" customHeight="1">
      <c r="B39" s="462" t="s">
        <v>210</v>
      </c>
      <c r="C39" s="365">
        <f>IF($C$31&lt;13,0,ABS(IPMT($C$30/12,13,$C$31,$C$29)))</f>
        <v>0</v>
      </c>
      <c r="D39" s="365">
        <f>IF($C$31&lt;14,0,ABS(IPMT($C$30/12,14,$C$31,$C$29)))</f>
        <v>0</v>
      </c>
      <c r="E39" s="365">
        <f>IF($C$31&lt;15,0,ABS(IPMT($C$30/12,15,$C$31,$C$29)))</f>
        <v>0</v>
      </c>
      <c r="F39" s="365">
        <f>IF($C$31&lt;16,0,ABS(IPMT($C$30/12,16,$C$31,$C$29)))</f>
        <v>0</v>
      </c>
      <c r="G39" s="365">
        <f>IF($C$31&lt;17,0,ABS(IPMT($C$30/12,17,$C$31,$C$29)))</f>
        <v>0</v>
      </c>
      <c r="H39" s="365">
        <f>IF($C$31&lt;18,0,ABS(IPMT($C$30/12,18,$C$31,$C$29)))</f>
        <v>0</v>
      </c>
      <c r="I39" s="365">
        <f>IF($C$31&lt;19,0,ABS(IPMT($C$30/12,19,$C$31,$C$29)))</f>
        <v>0</v>
      </c>
      <c r="J39" s="365">
        <f>IF($C$31&lt;20,0,ABS(IPMT($C$30/12,20,$C$31,$C$29)))</f>
        <v>0</v>
      </c>
      <c r="K39" s="365">
        <f>IF($C$31&lt;21,0,ABS(IPMT($C$30/12,21,$C$31,$C$29)))</f>
        <v>0</v>
      </c>
      <c r="L39" s="365">
        <f>IF($C$31&lt;22,0,ABS(IPMT($C$30/12,22,$C$31,$C$29)))</f>
        <v>0</v>
      </c>
      <c r="M39" s="365">
        <f>IF($C$31&lt;23,0,ABS(IPMT($C$30/12,23,$C$31,$C$29)))</f>
        <v>0</v>
      </c>
      <c r="N39" s="365">
        <f>IF($C$31&lt;24,0,ABS(IPMT($C$30/12,24,$C$31,$C$29)))</f>
        <v>0</v>
      </c>
      <c r="O39" s="498">
        <f t="shared" si="0"/>
        <v>0</v>
      </c>
      <c r="P39" s="94"/>
      <c r="Q39" s="94"/>
    </row>
    <row r="40" ht="12" customHeight="1">
      <c r="B40" s="462" t="s">
        <v>406</v>
      </c>
      <c r="C40" s="365">
        <f>IF($C$31&lt;13,0,ABS(PPMT($C$30/12,13,$C$31,$C$29)))</f>
        <v>0</v>
      </c>
      <c r="D40" s="365">
        <f>IF($C$31&lt;14,0,ABS(PPMT($C$30/12,14,$C$31,$C$29)))</f>
        <v>0</v>
      </c>
      <c r="E40" s="365">
        <f>IF($C$31&lt;13,0,ABS(PPMT($C$30/12,15,$C$31,$C$29)))</f>
        <v>0</v>
      </c>
      <c r="F40" s="365">
        <f>IF($C$31&lt;16,0,ABS(PPMT($C$30/12,16,$C$31,$C$29)))</f>
        <v>0</v>
      </c>
      <c r="G40" s="365">
        <f>IF($C$31&lt;17,0,ABS(PPMT($C$30/12,17,$C$31,$C$29)))</f>
        <v>0</v>
      </c>
      <c r="H40" s="365">
        <f>IF($C$31&lt;18,0,ABS(PPMT($C$30/12,18,$C$31,$C$29)))</f>
        <v>0</v>
      </c>
      <c r="I40" s="365">
        <f>IF($C$31&lt;19,0,ABS(PPMT($C$30/12,19,$C$31,$C$29)))</f>
        <v>0</v>
      </c>
      <c r="J40" s="365">
        <f>IF($C$31&lt;20,0,ABS(PPMT($C$30/12,20,$C$31,$C$29)))</f>
        <v>0</v>
      </c>
      <c r="K40" s="365">
        <f>IF($C$31&lt;21,0,ABS(PPMT($C$30/12,21,$C$31,$C$29)))</f>
        <v>0</v>
      </c>
      <c r="L40" s="365">
        <f>IF($C$31&lt;22,0,ABS(PPMT($C$30/12,22,$C$31,$C$29)))</f>
        <v>0</v>
      </c>
      <c r="M40" s="365">
        <f>IF($C$31&lt;23,0,ABS(PPMT($C$30/12,23,$C$31,$C$29)))</f>
        <v>0</v>
      </c>
      <c r="N40" s="365">
        <f>IF($C$31&lt;24,0,ABS(PPMT($C$30/12,24,$C$31,$C$29)))</f>
        <v>0</v>
      </c>
      <c r="O40" s="498">
        <f t="shared" si="0"/>
        <v>0</v>
      </c>
      <c r="P40" s="94"/>
      <c r="Q40" s="94"/>
    </row>
    <row r="41" ht="12" customHeight="1">
      <c r="B41" s="462" t="s">
        <v>407</v>
      </c>
      <c r="C41" s="499">
        <f t="shared" si="2"/>
        <v>0</v>
      </c>
      <c r="D41" s="499">
        <f t="shared" si="1"/>
        <v>0</v>
      </c>
      <c r="E41" s="499">
        <f t="shared" si="1"/>
        <v>0</v>
      </c>
      <c r="F41" s="499">
        <f t="shared" si="1"/>
        <v>0</v>
      </c>
      <c r="G41" s="499">
        <f t="shared" si="1"/>
        <v>0</v>
      </c>
      <c r="H41" s="499">
        <f t="shared" si="1"/>
        <v>0</v>
      </c>
      <c r="I41" s="499">
        <f t="shared" si="1"/>
        <v>0</v>
      </c>
      <c r="J41" s="499">
        <f t="shared" si="1"/>
        <v>0</v>
      </c>
      <c r="K41" s="499">
        <f t="shared" si="1"/>
        <v>0</v>
      </c>
      <c r="L41" s="499">
        <f t="shared" si="1"/>
        <v>0</v>
      </c>
      <c r="M41" s="499">
        <f t="shared" si="1"/>
        <v>0</v>
      </c>
      <c r="N41" s="499">
        <f t="shared" si="1"/>
        <v>0</v>
      </c>
      <c r="O41" s="500"/>
      <c r="P41" s="94"/>
      <c r="Q41" s="94"/>
    </row>
    <row r="42" ht="12" customHeight="1">
      <c r="B42" s="114" t="s">
        <v>311</v>
      </c>
      <c r="C42" s="501"/>
      <c r="D42" s="501"/>
      <c r="E42" s="501"/>
      <c r="F42" s="501"/>
      <c r="G42" s="501"/>
      <c r="H42" s="501"/>
      <c r="I42" s="501"/>
      <c r="J42" s="501"/>
      <c r="K42" s="501"/>
      <c r="L42" s="501"/>
      <c r="M42" s="501"/>
      <c r="N42" s="501"/>
      <c r="O42" s="501"/>
      <c r="P42" s="94"/>
      <c r="Q42" s="94"/>
    </row>
    <row r="43" ht="12" customHeight="1">
      <c r="B43" s="462" t="s">
        <v>210</v>
      </c>
      <c r="C43" s="365">
        <f>IF($C$31&lt;25,0,ABS(IPMT($C$30/12,25,$C$31,$C$29)))</f>
        <v>0</v>
      </c>
      <c r="D43" s="365">
        <f>IF($C$31&lt;26,0,ABS(IPMT($C$30/12,26,$C$31,$C$29)))</f>
        <v>0</v>
      </c>
      <c r="E43" s="365">
        <f>IF($C$31&lt;27,0,ABS(IPMT($C$30/12,27,$C$31,$C$29)))</f>
        <v>0</v>
      </c>
      <c r="F43" s="365">
        <f>IF($C$31&lt;28,0,ABS(IPMT($C$30/12,28,$C$31,$C$29)))</f>
        <v>0</v>
      </c>
      <c r="G43" s="365">
        <f>IF($C$31&lt;29,0,ABS(IPMT($C$30/12,29,$C$31,$C$29)))</f>
        <v>0</v>
      </c>
      <c r="H43" s="365">
        <f>IF($C$31&lt;29,0,ABS(IPMT($C$30/12,30,$C$31,$C$29)))</f>
        <v>0</v>
      </c>
      <c r="I43" s="365">
        <f>IF($C$31&lt;30,0,ABS(IPMT($C$30/12,31,$C$31,$C$29)))</f>
        <v>0</v>
      </c>
      <c r="J43" s="365">
        <f>IF($C$31&lt;31,0,ABS(IPMT($C$30/12,32,$C$31,$C$29)))</f>
        <v>0</v>
      </c>
      <c r="K43" s="365">
        <f>IF($C$31&lt;32,0,ABS(IPMT($C$30/12,33,$C$31,$C$29)))</f>
        <v>0</v>
      </c>
      <c r="L43" s="365">
        <f>IF($C$31&lt;33,0,ABS(IPMT($C$30/12,34,$C$31,$C$29)))</f>
        <v>0</v>
      </c>
      <c r="M43" s="365">
        <f>IF($C$31&lt;34,0,ABS(IPMT($C$30/12,35,$C$31,$C$29)))</f>
        <v>0</v>
      </c>
      <c r="N43" s="365">
        <f>IF($C$31&lt;35,0,ABS(IPMT($C$30/12,36,$C$31,$C$29)))</f>
        <v>0</v>
      </c>
      <c r="O43" s="498">
        <f t="shared" si="0"/>
        <v>0</v>
      </c>
      <c r="P43" s="94"/>
      <c r="Q43" s="94"/>
    </row>
    <row r="44" ht="12" customHeight="1">
      <c r="B44" s="462" t="s">
        <v>406</v>
      </c>
      <c r="C44" s="365">
        <f>IF($C$31&lt;25,0,ABS(PPMT($C$30/12,25,$C$31,$C$29)))</f>
        <v>0</v>
      </c>
      <c r="D44" s="365">
        <f>IF($C$31&lt;26,0,ABS(PPMT($C$30/12,26,$C$31,$C$29)))</f>
        <v>0</v>
      </c>
      <c r="E44" s="365">
        <f>IF($C$31&lt;27,0,ABS(PPMT($C$30/12,27,$C$31,$C$29)))</f>
        <v>0</v>
      </c>
      <c r="F44" s="365">
        <f>IF($C$31&lt;28,0,ABS(PPMT($C$30/12,28,$C$31,$C$29)))</f>
        <v>0</v>
      </c>
      <c r="G44" s="365">
        <f>IF($C$31&lt;28,0,ABS(PPMT($C$30/12,29,$C$31,$C$29)))</f>
        <v>0</v>
      </c>
      <c r="H44" s="365">
        <f>IF($C$31&lt;29,0,ABS(PPMT($C$30/12,30,$C$31,$C$29)))</f>
        <v>0</v>
      </c>
      <c r="I44" s="365">
        <f>IF($C$31&lt;30,0,ABS(PPMT($C$30/12,31,$C$31,$C$29)))</f>
        <v>0</v>
      </c>
      <c r="J44" s="365">
        <f>IF($C$31&lt;31,0,ABS(PPMT($C$30/12,32,$C$31,$C$29)))</f>
        <v>0</v>
      </c>
      <c r="K44" s="365">
        <f>IF($C$31&lt;32,0,ABS(PPMT($C$30/12,33,$C$31,$C$29)))</f>
        <v>0</v>
      </c>
      <c r="L44" s="365">
        <f>IF($C$31&lt;33,0,ABS(PPMT($C$30/12,34,$C$31,$C$29)))</f>
        <v>0</v>
      </c>
      <c r="M44" s="365">
        <f>IF($C$31&lt;34,0,ABS(PPMT($C$30/12,35,$C$31,$C$29)))</f>
        <v>0</v>
      </c>
      <c r="N44" s="365">
        <f>IF($C$31&lt;35,0,ABS(PPMT($C$30/12,36,$C$31,$C$29)))</f>
        <v>0</v>
      </c>
      <c r="O44" s="498">
        <f t="shared" si="0"/>
        <v>0</v>
      </c>
      <c r="P44" s="94"/>
      <c r="Q44" s="94"/>
    </row>
    <row r="45" ht="12" customHeight="1">
      <c r="B45" s="462" t="s">
        <v>407</v>
      </c>
      <c r="C45" s="499">
        <f t="shared" si="2"/>
        <v>0</v>
      </c>
      <c r="D45" s="499">
        <f t="shared" si="1"/>
        <v>0</v>
      </c>
      <c r="E45" s="499">
        <f t="shared" si="1"/>
        <v>0</v>
      </c>
      <c r="F45" s="499">
        <f t="shared" si="1"/>
        <v>0</v>
      </c>
      <c r="G45" s="499">
        <f t="shared" si="1"/>
        <v>0</v>
      </c>
      <c r="H45" s="499">
        <f t="shared" si="1"/>
        <v>0</v>
      </c>
      <c r="I45" s="499">
        <f t="shared" si="1"/>
        <v>0</v>
      </c>
      <c r="J45" s="499">
        <f t="shared" si="1"/>
        <v>0</v>
      </c>
      <c r="K45" s="499">
        <f t="shared" si="1"/>
        <v>0</v>
      </c>
      <c r="L45" s="499">
        <f t="shared" si="1"/>
        <v>0</v>
      </c>
      <c r="M45" s="499">
        <f t="shared" si="1"/>
        <v>0</v>
      </c>
      <c r="N45" s="499">
        <f t="shared" si="1"/>
        <v>0</v>
      </c>
      <c r="O45" s="500"/>
      <c r="P45" s="94"/>
      <c r="Q45" s="94"/>
    </row>
    <row r="46" ht="12" customHeight="1">
      <c r="B46" s="89"/>
      <c r="C46" s="89"/>
      <c r="D46" s="94"/>
      <c r="E46" s="94"/>
      <c r="F46" s="94"/>
      <c r="G46" s="94"/>
      <c r="H46" s="94"/>
      <c r="I46" s="94"/>
      <c r="J46" s="94"/>
      <c r="K46" s="94"/>
      <c r="L46" s="94"/>
      <c r="M46" s="94"/>
      <c r="N46" s="94"/>
      <c r="O46" s="94"/>
      <c r="P46" s="94"/>
      <c r="Q46" s="94"/>
    </row>
    <row r="47" ht="12" customHeight="1">
      <c r="B47" s="89"/>
      <c r="C47" s="89"/>
      <c r="D47" s="94"/>
      <c r="E47" s="94"/>
      <c r="F47" s="94"/>
      <c r="G47" s="94"/>
      <c r="H47" s="94"/>
      <c r="I47" s="94"/>
      <c r="J47" s="94"/>
      <c r="K47" s="94"/>
      <c r="L47" s="94"/>
      <c r="M47" s="94"/>
      <c r="N47" s="94"/>
      <c r="O47" s="94"/>
      <c r="P47" s="94"/>
      <c r="Q47" s="94"/>
    </row>
    <row r="48" ht="12.75" customHeight="1">
      <c r="B48" s="96" t="s">
        <v>62</v>
      </c>
      <c r="C48" s="96"/>
      <c r="D48" s="94"/>
      <c r="E48" s="94"/>
      <c r="F48" s="94"/>
      <c r="G48" s="94"/>
      <c r="H48" s="94"/>
      <c r="I48" s="94"/>
      <c r="J48" s="94"/>
      <c r="K48" s="94"/>
      <c r="L48" s="94"/>
      <c r="M48" s="94"/>
      <c r="N48" s="94"/>
      <c r="O48" s="94"/>
      <c r="P48" s="94"/>
      <c r="Q48" s="94"/>
    </row>
    <row r="49" ht="12.75" customHeight="1">
      <c r="B49" s="301" t="s">
        <v>402</v>
      </c>
      <c r="C49" s="502">
        <f>CCDebt</f>
        <v>0</v>
      </c>
      <c r="D49" s="94"/>
      <c r="E49" s="94"/>
      <c r="F49" s="94"/>
      <c r="G49" s="94"/>
      <c r="H49" s="94"/>
      <c r="I49" s="94"/>
      <c r="J49" s="94"/>
      <c r="K49" s="94"/>
      <c r="L49" s="94"/>
      <c r="M49" s="94"/>
      <c r="N49" s="94"/>
      <c r="O49" s="94"/>
      <c r="P49" s="94"/>
      <c r="Q49" s="94"/>
    </row>
    <row r="50" ht="12" customHeight="1">
      <c r="B50" s="114" t="s">
        <v>403</v>
      </c>
      <c r="C50" s="494">
        <f>'1-StartingPoint'!E39</f>
        <v>0.07</v>
      </c>
      <c r="D50" s="94"/>
      <c r="E50" s="94"/>
      <c r="F50" s="94"/>
      <c r="G50" s="94"/>
      <c r="H50" s="94"/>
      <c r="I50" s="94"/>
      <c r="J50" s="94"/>
      <c r="K50" s="94"/>
      <c r="L50" s="94"/>
      <c r="M50" s="94"/>
      <c r="N50" s="94"/>
      <c r="O50" s="94"/>
      <c r="P50" s="94"/>
      <c r="Q50" s="94"/>
    </row>
    <row r="51" ht="12" customHeight="1">
      <c r="B51" s="114" t="s">
        <v>404</v>
      </c>
      <c r="C51" s="495">
        <f>'1-StartingPoint'!F39</f>
        <v>60</v>
      </c>
      <c r="D51" s="94"/>
      <c r="E51" s="94"/>
      <c r="F51" s="94"/>
      <c r="G51" s="94"/>
      <c r="H51" s="94"/>
      <c r="I51" s="94"/>
      <c r="J51" s="94"/>
      <c r="K51" s="94"/>
      <c r="L51" s="94"/>
      <c r="M51" s="94"/>
      <c r="N51" s="94"/>
      <c r="O51" s="94"/>
      <c r="P51" s="94"/>
      <c r="Q51" s="94"/>
    </row>
    <row r="52" ht="12" customHeight="1">
      <c r="B52" s="114" t="s">
        <v>405</v>
      </c>
      <c r="C52" s="496">
        <f t="shared" si="3"/>
        <v>0</v>
      </c>
      <c r="D52" s="94"/>
      <c r="E52" s="94"/>
      <c r="F52" s="94"/>
      <c r="G52" s="94"/>
      <c r="H52" s="94"/>
      <c r="I52" s="94"/>
      <c r="J52" s="94"/>
      <c r="K52" s="94"/>
      <c r="L52" s="94"/>
      <c r="M52" s="94"/>
      <c r="N52" s="94"/>
      <c r="O52" s="94"/>
      <c r="P52" s="94"/>
      <c r="Q52" s="94"/>
    </row>
    <row r="53" ht="12" customHeight="1">
      <c r="B53" s="114"/>
      <c r="C53" s="497" t="str">
        <f>'3a-SalesForecastYear1'!$C$16</f>
        <v>Month 1</v>
      </c>
      <c r="D53" s="497" t="str">
        <f>'3a-SalesForecastYear1'!$D$16</f>
        <v>Month 2</v>
      </c>
      <c r="E53" s="497" t="str">
        <f>'3a-SalesForecastYear1'!$E$16</f>
        <v>Month 3</v>
      </c>
      <c r="F53" s="497" t="str">
        <f>'3a-SalesForecastYear1'!$F$16</f>
        <v>Month 4</v>
      </c>
      <c r="G53" s="497" t="str">
        <f>'3a-SalesForecastYear1'!$G$16</f>
        <v>Month 5</v>
      </c>
      <c r="H53" s="497" t="str">
        <f>'3a-SalesForecastYear1'!$H$16</f>
        <v>Month 6</v>
      </c>
      <c r="I53" s="497" t="str">
        <f>'3a-SalesForecastYear1'!$I$16</f>
        <v>Month 7</v>
      </c>
      <c r="J53" s="497" t="str">
        <f>'3a-SalesForecastYear1'!$J$16</f>
        <v>Month 8</v>
      </c>
      <c r="K53" s="497" t="str">
        <f>'3a-SalesForecastYear1'!$K$16</f>
        <v>Month 9</v>
      </c>
      <c r="L53" s="497" t="str">
        <f>'3a-SalesForecastYear1'!$L$16</f>
        <v>Month 10</v>
      </c>
      <c r="M53" s="497" t="str">
        <f>'3a-SalesForecastYear1'!$M$16</f>
        <v>Month 11</v>
      </c>
      <c r="N53" s="497" t="str">
        <f>'3a-SalesForecastYear1'!$N$16</f>
        <v>Month 12</v>
      </c>
      <c r="O53" s="497" t="s">
        <v>52</v>
      </c>
      <c r="P53" s="94"/>
      <c r="Q53" s="94"/>
    </row>
    <row r="54" ht="12" customHeight="1">
      <c r="B54" s="114" t="s">
        <v>309</v>
      </c>
      <c r="C54" s="105"/>
      <c r="D54" s="105"/>
      <c r="E54" s="105"/>
      <c r="F54" s="105"/>
      <c r="G54" s="105"/>
      <c r="H54" s="105"/>
      <c r="I54" s="105"/>
      <c r="J54" s="105"/>
      <c r="K54" s="105"/>
      <c r="L54" s="105"/>
      <c r="M54" s="105"/>
      <c r="N54" s="105"/>
      <c r="O54" s="105"/>
      <c r="P54" s="94"/>
      <c r="Q54" s="94"/>
    </row>
    <row r="55" ht="12" customHeight="1">
      <c r="B55" s="462" t="s">
        <v>210</v>
      </c>
      <c r="C55" s="365">
        <f>ABS(IPMT($C$50/12,1,$C$51,$C$49))</f>
        <v>0</v>
      </c>
      <c r="D55" s="365">
        <f>ABS(IPMT($C$50/12,2,$C$51,$C$49))</f>
        <v>0</v>
      </c>
      <c r="E55" s="365">
        <f>ABS(IPMT($C$50/12,3,$C$51,$C$49))</f>
        <v>0</v>
      </c>
      <c r="F55" s="365">
        <f>ABS(IPMT($C$50/12,4,$C$51,$C$49))</f>
        <v>0</v>
      </c>
      <c r="G55" s="365">
        <f>ABS(IPMT($C$50/12,5,$C$51,$C$49))</f>
        <v>0</v>
      </c>
      <c r="H55" s="365">
        <f>ABS(IPMT($C$50/12,6,$C$51,$C$49))</f>
        <v>0</v>
      </c>
      <c r="I55" s="365">
        <f>ABS(IPMT($C$50/12,7,$C$51,$C$49))</f>
        <v>0</v>
      </c>
      <c r="J55" s="365">
        <f>ABS(IPMT($C$50/12,8,$C$51,$C$49))</f>
        <v>0</v>
      </c>
      <c r="K55" s="365">
        <f>ABS(IPMT($C$50/12,9,$C$51,$C$49))</f>
        <v>0</v>
      </c>
      <c r="L55" s="365">
        <f>ABS(IPMT($C$50/12,10,$C$51,$C$49))</f>
        <v>0</v>
      </c>
      <c r="M55" s="365">
        <f>ABS(IPMT($C$50/12,11,$C$51,$C$49))</f>
        <v>0</v>
      </c>
      <c r="N55" s="365">
        <f>ABS(IPMT($C$50/12,12,$C$51,$C$49))</f>
        <v>0</v>
      </c>
      <c r="O55" s="498">
        <f t="shared" si="0"/>
        <v>0</v>
      </c>
      <c r="P55" s="94"/>
      <c r="Q55" s="94"/>
    </row>
    <row r="56" ht="12" customHeight="1">
      <c r="B56" s="462" t="s">
        <v>406</v>
      </c>
      <c r="C56" s="365">
        <f>ABS(PPMT($C$50/12,1,$C$51,$C$49))</f>
        <v>0</v>
      </c>
      <c r="D56" s="365">
        <f>ABS(PPMT($C$50/12,2,$C$51,$C$49))</f>
        <v>0</v>
      </c>
      <c r="E56" s="365">
        <f>ABS(PPMT($C$50/12,3,$C$51,$C$49))</f>
        <v>0</v>
      </c>
      <c r="F56" s="365">
        <f>ABS(PPMT($C$50/12,4,$C$51,$C$49))</f>
        <v>0</v>
      </c>
      <c r="G56" s="365">
        <f>ABS(PPMT($C$50/12,5,$C$51,$C$49))</f>
        <v>0</v>
      </c>
      <c r="H56" s="365">
        <f>ABS(PPMT($C$50/12,6,$C$51,$C$49))</f>
        <v>0</v>
      </c>
      <c r="I56" s="365">
        <f>ABS(PPMT($C$50/12,7,$C$51,$C$49))</f>
        <v>0</v>
      </c>
      <c r="J56" s="365">
        <f>ABS(PPMT($C$50/12,8,$C$51,$C$49))</f>
        <v>0</v>
      </c>
      <c r="K56" s="365">
        <f>ABS(PPMT($C$50/12,9,$C$51,$C$49))</f>
        <v>0</v>
      </c>
      <c r="L56" s="365">
        <f>ABS(PPMT($C$50/12,10,$C$51,$C$49))</f>
        <v>0</v>
      </c>
      <c r="M56" s="365">
        <f>ABS(PPMT($C$50/12,11,$C$51,$C$49))</f>
        <v>0</v>
      </c>
      <c r="N56" s="365">
        <f>ABS(PPMT($C$50/12,12,$C$51,$C$49))</f>
        <v>0</v>
      </c>
      <c r="O56" s="498">
        <f t="shared" si="0"/>
        <v>0</v>
      </c>
      <c r="P56" s="94"/>
      <c r="Q56" s="94"/>
    </row>
    <row r="57" ht="12" customHeight="1">
      <c r="B57" s="462" t="s">
        <v>407</v>
      </c>
      <c r="C57" s="499">
        <f>$C$49-C56</f>
        <v>0</v>
      </c>
      <c r="D57" s="499">
        <f t="shared" si="1"/>
        <v>0</v>
      </c>
      <c r="E57" s="499">
        <f t="shared" si="1"/>
        <v>0</v>
      </c>
      <c r="F57" s="499">
        <f t="shared" si="1"/>
        <v>0</v>
      </c>
      <c r="G57" s="499">
        <f t="shared" si="1"/>
        <v>0</v>
      </c>
      <c r="H57" s="499">
        <f t="shared" si="1"/>
        <v>0</v>
      </c>
      <c r="I57" s="499">
        <f t="shared" si="1"/>
        <v>0</v>
      </c>
      <c r="J57" s="499">
        <f t="shared" si="1"/>
        <v>0</v>
      </c>
      <c r="K57" s="499">
        <f t="shared" si="1"/>
        <v>0</v>
      </c>
      <c r="L57" s="499">
        <f t="shared" si="1"/>
        <v>0</v>
      </c>
      <c r="M57" s="499">
        <f t="shared" si="1"/>
        <v>0</v>
      </c>
      <c r="N57" s="499">
        <f t="shared" si="1"/>
        <v>0</v>
      </c>
      <c r="O57" s="500"/>
      <c r="P57" s="94"/>
      <c r="Q57" s="94"/>
    </row>
    <row r="58" ht="12" customHeight="1">
      <c r="B58" s="114" t="s">
        <v>310</v>
      </c>
      <c r="C58" s="501"/>
      <c r="D58" s="501"/>
      <c r="E58" s="501"/>
      <c r="F58" s="501"/>
      <c r="G58" s="501"/>
      <c r="H58" s="501"/>
      <c r="I58" s="501"/>
      <c r="J58" s="501"/>
      <c r="K58" s="501"/>
      <c r="L58" s="501"/>
      <c r="M58" s="501"/>
      <c r="N58" s="501"/>
      <c r="O58" s="501"/>
      <c r="P58" s="94"/>
      <c r="Q58" s="94"/>
    </row>
    <row r="59" ht="12" customHeight="1">
      <c r="B59" s="462" t="s">
        <v>210</v>
      </c>
      <c r="C59" s="365">
        <f>IF($C$51&lt;13,0,ABS(IPMT($C$50/12,13,$C$51,$C$49)))</f>
        <v>0</v>
      </c>
      <c r="D59" s="365">
        <f>IF($C$51&lt;14,0,ABS(IPMT($C$50/12,14,$C$51,$C$49)))</f>
        <v>0</v>
      </c>
      <c r="E59" s="365">
        <f>IF($C$51&lt;15,0,ABS(IPMT($C$50/12,15,$C$51,$C$49)))</f>
        <v>0</v>
      </c>
      <c r="F59" s="365">
        <f>IF($C$51&lt;16,0,ABS(IPMT($C$50/12,16,$C$51,$C$49)))</f>
        <v>0</v>
      </c>
      <c r="G59" s="365">
        <f>IF($C$51&lt;17,0,ABS(IPMT($C$50/12,17,$C$51,$C$49)))</f>
        <v>0</v>
      </c>
      <c r="H59" s="365">
        <f>IF($C$51&lt;18,0,ABS(IPMT($C$50/12,18,$C$51,$C$49)))</f>
        <v>0</v>
      </c>
      <c r="I59" s="365">
        <f>IF($C$51&lt;19,0,ABS(IPMT($C$50/12,19,$C$51,$C$49)))</f>
        <v>0</v>
      </c>
      <c r="J59" s="365">
        <f>IF($C$51&lt;20,0,ABS(IPMT($C$50/12,20,$C$51,$C$49)))</f>
        <v>0</v>
      </c>
      <c r="K59" s="365">
        <f>IF($C$51&lt;21,0,ABS(IPMT($C$50/12,21,$C$51,$C$49)))</f>
        <v>0</v>
      </c>
      <c r="L59" s="365">
        <f>IF($C$51&lt;22,0,ABS(IPMT($C$50/12,22,$C$51,$C$49)))</f>
        <v>0</v>
      </c>
      <c r="M59" s="365">
        <f>IF($C$51&lt;23,0,ABS(IPMT($C$50/23,11,$C$51,$C$49)))</f>
        <v>0</v>
      </c>
      <c r="N59" s="365">
        <f>IF($C$51&lt;24,0,ABS(IPMT($C$50/12,24,$C$51,$C$49)))</f>
        <v>0</v>
      </c>
      <c r="O59" s="498">
        <f t="shared" si="0"/>
        <v>0</v>
      </c>
      <c r="P59" s="94"/>
      <c r="Q59" s="94"/>
    </row>
    <row r="60" ht="12" customHeight="1">
      <c r="B60" s="462" t="s">
        <v>406</v>
      </c>
      <c r="C60" s="365">
        <f>IF($C$51&lt;13,0,ABS(PPMT($C$50/12,13,$C$51,$C$49)))</f>
        <v>0</v>
      </c>
      <c r="D60" s="365">
        <f>IF($C$51&lt;14,0,ABS(PPMT($C$50/12,14,$C$51,$C$49)))</f>
        <v>0</v>
      </c>
      <c r="E60" s="365">
        <f>IF($C$51&lt;15,0,ABS(PPMT($C$50/12,15,$C$51,$C$49)))</f>
        <v>0</v>
      </c>
      <c r="F60" s="365">
        <f>IF($C$51&lt;16,0,ABS(PPMT($C$50/12,16,$C$51,$C$49)))</f>
        <v>0</v>
      </c>
      <c r="G60" s="365">
        <f>IF($C$51&lt;17,0,ABS(PPMT($C$50/12,17,$C$51,$C$49)))</f>
        <v>0</v>
      </c>
      <c r="H60" s="365">
        <f>IF($C$51&lt;18,0,ABS(PPMT($C$50/12,18,$C$51,$C$49)))</f>
        <v>0</v>
      </c>
      <c r="I60" s="365">
        <f>IF($C$51&lt;19,0,ABS(PPMT($C$50/12,19,$C$51,$C$49)))</f>
        <v>0</v>
      </c>
      <c r="J60" s="365">
        <f>IF($C$51&lt;20,0,ABS(PPMT($C$50/12,20,$C$51,$C$49)))</f>
        <v>0</v>
      </c>
      <c r="K60" s="365">
        <f>IF($C$51&lt;21,0,ABS(PPMT($C$50/12,21,$C$51,$C$49)))</f>
        <v>0</v>
      </c>
      <c r="L60" s="365">
        <f>IF($C$51&lt;22,0,ABS(PPMT($C$50/12,22,$C$51,$C$49)))</f>
        <v>0</v>
      </c>
      <c r="M60" s="365">
        <f>IF($C$51&lt;23,0,ABS(PPMT($C$50/12,23,$C$51,$C$49)))</f>
        <v>0</v>
      </c>
      <c r="N60" s="365">
        <f>IF($C$51&lt;24,0,ABS(PPMT($C$50/12,24,$C$51,$C$49)))</f>
        <v>0</v>
      </c>
      <c r="O60" s="498">
        <f t="shared" si="0"/>
        <v>0</v>
      </c>
      <c r="P60" s="94"/>
      <c r="Q60" s="94"/>
    </row>
    <row r="61" ht="12" customHeight="1">
      <c r="B61" s="462" t="s">
        <v>407</v>
      </c>
      <c r="C61" s="499">
        <f t="shared" si="2"/>
        <v>0</v>
      </c>
      <c r="D61" s="499">
        <f t="shared" si="1"/>
        <v>0</v>
      </c>
      <c r="E61" s="499">
        <f t="shared" si="1"/>
        <v>0</v>
      </c>
      <c r="F61" s="499">
        <f t="shared" si="1"/>
        <v>0</v>
      </c>
      <c r="G61" s="499">
        <f t="shared" si="1"/>
        <v>0</v>
      </c>
      <c r="H61" s="499">
        <f t="shared" si="1"/>
        <v>0</v>
      </c>
      <c r="I61" s="499">
        <f t="shared" si="1"/>
        <v>0</v>
      </c>
      <c r="J61" s="499">
        <f t="shared" si="1"/>
        <v>0</v>
      </c>
      <c r="K61" s="499">
        <f t="shared" si="1"/>
        <v>0</v>
      </c>
      <c r="L61" s="499">
        <f t="shared" si="1"/>
        <v>0</v>
      </c>
      <c r="M61" s="499">
        <f t="shared" si="1"/>
        <v>0</v>
      </c>
      <c r="N61" s="499">
        <f t="shared" si="1"/>
        <v>0</v>
      </c>
      <c r="O61" s="500"/>
      <c r="P61" s="94"/>
      <c r="Q61" s="94"/>
    </row>
    <row r="62" ht="12" customHeight="1">
      <c r="B62" s="114" t="s">
        <v>311</v>
      </c>
      <c r="C62" s="501"/>
      <c r="D62" s="501"/>
      <c r="E62" s="501"/>
      <c r="F62" s="501"/>
      <c r="G62" s="501"/>
      <c r="H62" s="501"/>
      <c r="I62" s="501"/>
      <c r="J62" s="501"/>
      <c r="K62" s="501"/>
      <c r="L62" s="501"/>
      <c r="M62" s="501"/>
      <c r="N62" s="501"/>
      <c r="O62" s="501"/>
      <c r="P62" s="94"/>
      <c r="Q62" s="94"/>
    </row>
    <row r="63" ht="12" customHeight="1">
      <c r="B63" s="462" t="s">
        <v>210</v>
      </c>
      <c r="C63" s="365">
        <f>IF($C$51&lt;25,0,ABS(IPMT($C$50/12,25,$C$51,$C$49)))</f>
        <v>0</v>
      </c>
      <c r="D63" s="365">
        <f>IF($C$51&lt;26,0,ABS(IPMT($C$50/12,26,$C$51,$C$49)))</f>
        <v>0</v>
      </c>
      <c r="E63" s="365">
        <f>IF($C$51&lt;27,0,ABS(IPMT($C$50/12,27,$C$51,$C$49)))</f>
        <v>0</v>
      </c>
      <c r="F63" s="365">
        <f>IF($C$51&lt;28,0,ABS(IPMT($C$50/12,28,$C$51,$C$49)))</f>
        <v>0</v>
      </c>
      <c r="G63" s="365">
        <f>IF($C$51&lt;29,0,ABS(IPMT($C$50/12,29,$C$51,$C$49)))</f>
        <v>0</v>
      </c>
      <c r="H63" s="365">
        <f>IF($C$51&lt;30,0,ABS(IPMT($C$50/12,30,$C$51,$C$49)))</f>
        <v>0</v>
      </c>
      <c r="I63" s="365">
        <f>IF($C$51&lt;31,0,ABS(IPMT($C$50/12,31,$C$51,$C$49)))</f>
        <v>0</v>
      </c>
      <c r="J63" s="365">
        <f>IF($C$51&lt;32,0,ABS(IPMT($C$50/12,32,$C$51,$C$49)))</f>
        <v>0</v>
      </c>
      <c r="K63" s="365">
        <f>IF($C$51&lt;33,0,ABS(IPMT($C$50/12,33,$C$51,$C$49)))</f>
        <v>0</v>
      </c>
      <c r="L63" s="365">
        <f>IF($C$51&lt;34,0,ABS(IPMT($C$50/12,34,$C$51,$C$49)))</f>
        <v>0</v>
      </c>
      <c r="M63" s="365">
        <f>IF($C$51&lt;35,0,ABS(IPMT($C$50/12,35,$C$51,$C$49)))</f>
        <v>0</v>
      </c>
      <c r="N63" s="365">
        <f>IF($C$51&lt;36,0,ABS(IPMT($C$50/12,36,$C$51,$C$49)))</f>
        <v>0</v>
      </c>
      <c r="O63" s="498">
        <f t="shared" si="0"/>
        <v>0</v>
      </c>
      <c r="P63" s="94"/>
      <c r="Q63" s="94"/>
    </row>
    <row r="64" ht="12" customHeight="1">
      <c r="B64" s="462" t="s">
        <v>406</v>
      </c>
      <c r="C64" s="365">
        <f>IF($C$51&lt;25,0,ABS(PPMT($C$50/12,25,$C$51,$C$49)))</f>
        <v>0</v>
      </c>
      <c r="D64" s="365">
        <f>IF($C$51&lt;26,0,ABS(PPMT($C$50/12,26,$C$51,$C$49)))</f>
        <v>0</v>
      </c>
      <c r="E64" s="365">
        <f>IF($C$51&lt;27,0,ABS(PPMT($C$50/12,27,$C$51,$C$49)))</f>
        <v>0</v>
      </c>
      <c r="F64" s="365">
        <f>IF($C$51&lt;28,0,ABS(PPMT($C$50/12,28,$C$51,$C$49)))</f>
        <v>0</v>
      </c>
      <c r="G64" s="365">
        <f>IF($C$51&lt;29,0,ABS(PPMT($C$50/12,29,$C$51,$C$49)))</f>
        <v>0</v>
      </c>
      <c r="H64" s="365">
        <f>IF($C$51&lt;30,0,ABS(PPMT($C$50/12,30,$C$51,$C$49)))</f>
        <v>0</v>
      </c>
      <c r="I64" s="365">
        <f>IF($C$51&lt;31,0,ABS(PPMT($C$50/12,31,$C$51,$C$49)))</f>
        <v>0</v>
      </c>
      <c r="J64" s="365">
        <f>IF($C$51&lt;32,0,ABS(PPMT($C$50/12,32,$C$51,$C$49)))</f>
        <v>0</v>
      </c>
      <c r="K64" s="365">
        <f>IF($C$51&lt;33,0,ABS(PPMT($C$50/12,33,$C$51,$C$49)))</f>
        <v>0</v>
      </c>
      <c r="L64" s="365">
        <f>IF($C$51&lt;34,0,ABS(PPMT($C$50/12,34,$C$51,$C$49)))</f>
        <v>0</v>
      </c>
      <c r="M64" s="365">
        <f>IF($C$51&lt;35,0,ABS(PPMT($C$50/12,35,$C$51,$C$49)))</f>
        <v>0</v>
      </c>
      <c r="N64" s="365">
        <f>IF($C$51&lt;36,0,ABS(PPMT($C$50/12,36,$C$51,$C$49)))</f>
        <v>0</v>
      </c>
      <c r="O64" s="498">
        <f t="shared" si="0"/>
        <v>0</v>
      </c>
      <c r="P64" s="94"/>
      <c r="Q64" s="94"/>
    </row>
    <row r="65" ht="12" customHeight="1">
      <c r="B65" s="462" t="s">
        <v>407</v>
      </c>
      <c r="C65" s="499">
        <f t="shared" si="2"/>
        <v>0</v>
      </c>
      <c r="D65" s="499">
        <f t="shared" si="1"/>
        <v>0</v>
      </c>
      <c r="E65" s="499">
        <f t="shared" si="1"/>
        <v>0</v>
      </c>
      <c r="F65" s="499">
        <f t="shared" si="1"/>
        <v>0</v>
      </c>
      <c r="G65" s="499">
        <f t="shared" si="1"/>
        <v>0</v>
      </c>
      <c r="H65" s="499">
        <f t="shared" si="1"/>
        <v>0</v>
      </c>
      <c r="I65" s="499">
        <f t="shared" si="1"/>
        <v>0</v>
      </c>
      <c r="J65" s="499">
        <f t="shared" si="1"/>
        <v>0</v>
      </c>
      <c r="K65" s="499">
        <f t="shared" si="1"/>
        <v>0</v>
      </c>
      <c r="L65" s="499">
        <f t="shared" si="1"/>
        <v>0</v>
      </c>
      <c r="M65" s="499">
        <f t="shared" si="1"/>
        <v>0</v>
      </c>
      <c r="N65" s="499">
        <f t="shared" si="1"/>
        <v>0</v>
      </c>
      <c r="O65" s="500"/>
      <c r="P65" s="94"/>
      <c r="Q65" s="94"/>
    </row>
    <row r="66" ht="12" customHeight="1">
      <c r="B66" s="89"/>
      <c r="C66" s="89"/>
      <c r="D66" s="94"/>
      <c r="E66" s="94"/>
      <c r="F66" s="94"/>
      <c r="G66" s="94"/>
      <c r="H66" s="94"/>
      <c r="I66" s="94"/>
      <c r="J66" s="94"/>
      <c r="K66" s="94"/>
      <c r="L66" s="94"/>
      <c r="M66" s="94"/>
      <c r="N66" s="94"/>
      <c r="O66" s="94"/>
      <c r="P66" s="94"/>
      <c r="Q66" s="94"/>
    </row>
    <row r="67" ht="12" customHeight="1">
      <c r="B67" s="89"/>
      <c r="C67" s="89"/>
      <c r="D67" s="94"/>
      <c r="E67" s="94"/>
      <c r="F67" s="94"/>
      <c r="G67" s="94"/>
      <c r="H67" s="94"/>
      <c r="I67" s="94"/>
      <c r="J67" s="94"/>
      <c r="K67" s="94"/>
      <c r="L67" s="94"/>
      <c r="M67" s="94"/>
      <c r="N67" s="94"/>
      <c r="O67" s="94"/>
      <c r="P67" s="94"/>
      <c r="Q67" s="94"/>
    </row>
    <row r="68" ht="12.75" customHeight="1">
      <c r="B68" s="96" t="s">
        <v>63</v>
      </c>
      <c r="C68" s="96"/>
      <c r="D68" s="94"/>
      <c r="E68" s="94"/>
      <c r="F68" s="94"/>
      <c r="G68" s="94"/>
      <c r="H68" s="94"/>
      <c r="I68" s="94"/>
      <c r="J68" s="94"/>
      <c r="K68" s="94"/>
      <c r="L68" s="94"/>
      <c r="M68" s="94"/>
      <c r="N68" s="94"/>
      <c r="O68" s="94"/>
      <c r="P68" s="94"/>
      <c r="Q68" s="94"/>
    </row>
    <row r="69" ht="12.75" customHeight="1">
      <c r="B69" s="301" t="s">
        <v>402</v>
      </c>
      <c r="C69" s="502">
        <f>VehicleLoan</f>
        <v>0</v>
      </c>
      <c r="D69" s="94"/>
      <c r="E69" s="94"/>
      <c r="F69" s="94"/>
      <c r="G69" s="94"/>
      <c r="H69" s="94"/>
      <c r="I69" s="94"/>
      <c r="J69" s="94"/>
      <c r="K69" s="94"/>
      <c r="L69" s="94"/>
      <c r="M69" s="94"/>
      <c r="N69" s="94"/>
      <c r="O69" s="94"/>
      <c r="P69" s="94"/>
      <c r="Q69" s="94"/>
    </row>
    <row r="70" ht="12" customHeight="1">
      <c r="B70" s="114" t="s">
        <v>403</v>
      </c>
      <c r="C70" s="494">
        <f>'1-StartingPoint'!E40</f>
        <v>0.06</v>
      </c>
      <c r="D70" s="94"/>
      <c r="E70" s="94"/>
      <c r="F70" s="94"/>
      <c r="G70" s="94"/>
      <c r="H70" s="94"/>
      <c r="I70" s="94"/>
      <c r="J70" s="94"/>
      <c r="K70" s="94"/>
      <c r="L70" s="94"/>
      <c r="M70" s="94"/>
      <c r="N70" s="94"/>
      <c r="O70" s="94"/>
      <c r="P70" s="94"/>
      <c r="Q70" s="94"/>
    </row>
    <row r="71" ht="12" customHeight="1">
      <c r="B71" s="114" t="s">
        <v>404</v>
      </c>
      <c r="C71" s="495">
        <f>'1-StartingPoint'!F40</f>
        <v>48</v>
      </c>
      <c r="D71" s="94"/>
      <c r="E71" s="94"/>
      <c r="F71" s="94"/>
      <c r="G71" s="94"/>
      <c r="H71" s="94"/>
      <c r="I71" s="94"/>
      <c r="J71" s="94"/>
      <c r="K71" s="94"/>
      <c r="L71" s="94"/>
      <c r="M71" s="94"/>
      <c r="N71" s="94"/>
      <c r="O71" s="94"/>
      <c r="P71" s="94"/>
      <c r="Q71" s="94"/>
    </row>
    <row r="72" ht="12" customHeight="1">
      <c r="B72" s="114" t="s">
        <v>405</v>
      </c>
      <c r="C72" s="496">
        <f t="shared" si="3"/>
        <v>0</v>
      </c>
      <c r="D72" s="94"/>
      <c r="E72" s="94"/>
      <c r="F72" s="94"/>
      <c r="G72" s="94"/>
      <c r="H72" s="94"/>
      <c r="I72" s="94"/>
      <c r="J72" s="94"/>
      <c r="K72" s="94"/>
      <c r="L72" s="94"/>
      <c r="M72" s="94"/>
      <c r="N72" s="94"/>
      <c r="O72" s="94"/>
      <c r="P72" s="94"/>
      <c r="Q72" s="94"/>
    </row>
    <row r="73" ht="12" customHeight="1">
      <c r="B73" s="114"/>
      <c r="C73" s="497" t="str">
        <f>'3a-SalesForecastYear1'!$C$16</f>
        <v>Month 1</v>
      </c>
      <c r="D73" s="497" t="str">
        <f>'3a-SalesForecastYear1'!$D$16</f>
        <v>Month 2</v>
      </c>
      <c r="E73" s="497" t="str">
        <f>'3a-SalesForecastYear1'!$E$16</f>
        <v>Month 3</v>
      </c>
      <c r="F73" s="497" t="str">
        <f>'3a-SalesForecastYear1'!$F$16</f>
        <v>Month 4</v>
      </c>
      <c r="G73" s="497" t="str">
        <f>'3a-SalesForecastYear1'!$G$16</f>
        <v>Month 5</v>
      </c>
      <c r="H73" s="497" t="str">
        <f>'3a-SalesForecastYear1'!$H$16</f>
        <v>Month 6</v>
      </c>
      <c r="I73" s="497" t="str">
        <f>'3a-SalesForecastYear1'!$I$16</f>
        <v>Month 7</v>
      </c>
      <c r="J73" s="497" t="str">
        <f>'3a-SalesForecastYear1'!$J$16</f>
        <v>Month 8</v>
      </c>
      <c r="K73" s="497" t="str">
        <f>'3a-SalesForecastYear1'!$K$16</f>
        <v>Month 9</v>
      </c>
      <c r="L73" s="497" t="str">
        <f>'3a-SalesForecastYear1'!$L$16</f>
        <v>Month 10</v>
      </c>
      <c r="M73" s="497" t="str">
        <f>'3a-SalesForecastYear1'!$M$16</f>
        <v>Month 11</v>
      </c>
      <c r="N73" s="497" t="str">
        <f>'3a-SalesForecastYear1'!$N$16</f>
        <v>Month 12</v>
      </c>
      <c r="O73" s="497" t="s">
        <v>52</v>
      </c>
      <c r="P73" s="94"/>
      <c r="Q73" s="94"/>
    </row>
    <row r="74" ht="12" customHeight="1">
      <c r="B74" s="114" t="s">
        <v>309</v>
      </c>
      <c r="C74" s="105"/>
      <c r="D74" s="105"/>
      <c r="E74" s="105"/>
      <c r="F74" s="105"/>
      <c r="G74" s="105"/>
      <c r="H74" s="105"/>
      <c r="I74" s="105"/>
      <c r="J74" s="105"/>
      <c r="K74" s="105"/>
      <c r="L74" s="105"/>
      <c r="M74" s="105"/>
      <c r="N74" s="105"/>
      <c r="O74" s="105"/>
      <c r="P74" s="94"/>
      <c r="Q74" s="94"/>
    </row>
    <row r="75" ht="12" customHeight="1">
      <c r="B75" s="503" t="s">
        <v>210</v>
      </c>
      <c r="C75" s="365">
        <f>ABS(IPMT($C$70/12,1,$C$71,$C$69))</f>
        <v>0</v>
      </c>
      <c r="D75" s="365">
        <f>ABS(IPMT($C$70/12,2,$C$71,$C$69))</f>
        <v>0</v>
      </c>
      <c r="E75" s="365">
        <f>ABS(IPMT($C$70/12,3,$C$71,$C$69))</f>
        <v>0</v>
      </c>
      <c r="F75" s="365">
        <f>ABS(IPMT($C$70/12,4,$C$71,$C$69))</f>
        <v>0</v>
      </c>
      <c r="G75" s="365">
        <f>ABS(IPMT($C$70/12,5,$C$71,$C$69))</f>
        <v>0</v>
      </c>
      <c r="H75" s="365">
        <f>ABS(IPMT($C$70/12,6,$C$71,$C$69))</f>
        <v>0</v>
      </c>
      <c r="I75" s="365">
        <f>ABS(IPMT($C$70/12,7,$C$71,$C$69))</f>
        <v>0</v>
      </c>
      <c r="J75" s="365">
        <f>ABS(IPMT($C$70/12,8,$C$71,$C$69))</f>
        <v>0</v>
      </c>
      <c r="K75" s="365">
        <f>ABS(IPMT($C$70/12,9,$C$71,$C$69))</f>
        <v>0</v>
      </c>
      <c r="L75" s="365">
        <f>ABS(IPMT($C$70/12,10,$C$71,$C$69))</f>
        <v>0</v>
      </c>
      <c r="M75" s="365">
        <f>ABS(IPMT($C$70/12,11,$C$71,$C$69))</f>
        <v>0</v>
      </c>
      <c r="N75" s="365">
        <f>ABS(IPMT($C$70/12,12,$C$71,$C$69))</f>
        <v>0</v>
      </c>
      <c r="O75" s="498">
        <f t="shared" si="0"/>
        <v>0</v>
      </c>
      <c r="P75" s="94"/>
      <c r="Q75" s="94"/>
    </row>
    <row r="76" ht="12" customHeight="1">
      <c r="B76" s="503" t="s">
        <v>406</v>
      </c>
      <c r="C76" s="365">
        <f>ABS(PPMT($C$70/12,1,$C$71,$C$69))</f>
        <v>0</v>
      </c>
      <c r="D76" s="365">
        <f>ABS(PPMT($C$70/12,2,$C$71,$C$69))</f>
        <v>0</v>
      </c>
      <c r="E76" s="365">
        <f>ABS(PPMT($C$70/12,3,$C$71,$C$69))</f>
        <v>0</v>
      </c>
      <c r="F76" s="365">
        <f>ABS(PPMT($C$70/12,4,$C$71,$C$69))</f>
        <v>0</v>
      </c>
      <c r="G76" s="365">
        <f>ABS(PPMT($C$70/12,5,$C$71,$C$69))</f>
        <v>0</v>
      </c>
      <c r="H76" s="365">
        <f>ABS(PPMT($C$70/12,6,$C$71,$C$69))</f>
        <v>0</v>
      </c>
      <c r="I76" s="365">
        <f>ABS(PPMT($C$70/12,7,$C$71,$C$69))</f>
        <v>0</v>
      </c>
      <c r="J76" s="365">
        <f>ABS(PPMT($C$70/12,8,$C$71,$C$69))</f>
        <v>0</v>
      </c>
      <c r="K76" s="365">
        <f>ABS(PPMT($C$70/12,9,$C$71,$C$69))</f>
        <v>0</v>
      </c>
      <c r="L76" s="365">
        <f>ABS(PPMT($C$70/12,10,$C$71,$C$69))</f>
        <v>0</v>
      </c>
      <c r="M76" s="365">
        <f>ABS(PPMT($C$70/12,11,$C$71,$C$69))</f>
        <v>0</v>
      </c>
      <c r="N76" s="365">
        <f>ABS(PPMT($C$70/12,12,$C$71,$C$69))</f>
        <v>0</v>
      </c>
      <c r="O76" s="498">
        <f t="shared" si="0"/>
        <v>0</v>
      </c>
      <c r="P76" s="94"/>
      <c r="Q76" s="94"/>
    </row>
    <row r="77" ht="12" customHeight="1">
      <c r="B77" s="462" t="s">
        <v>407</v>
      </c>
      <c r="C77" s="499">
        <f>$C$69-C76</f>
        <v>0</v>
      </c>
      <c r="D77" s="499">
        <f t="shared" si="1"/>
        <v>0</v>
      </c>
      <c r="E77" s="499">
        <f t="shared" si="1"/>
        <v>0</v>
      </c>
      <c r="F77" s="499">
        <f t="shared" si="1"/>
        <v>0</v>
      </c>
      <c r="G77" s="499">
        <f t="shared" si="1"/>
        <v>0</v>
      </c>
      <c r="H77" s="499">
        <f t="shared" si="1"/>
        <v>0</v>
      </c>
      <c r="I77" s="499">
        <f t="shared" si="1"/>
        <v>0</v>
      </c>
      <c r="J77" s="499">
        <f t="shared" si="1"/>
        <v>0</v>
      </c>
      <c r="K77" s="499">
        <f t="shared" si="1"/>
        <v>0</v>
      </c>
      <c r="L77" s="499">
        <f t="shared" si="1"/>
        <v>0</v>
      </c>
      <c r="M77" s="499">
        <f t="shared" si="1"/>
        <v>0</v>
      </c>
      <c r="N77" s="499">
        <f t="shared" si="1"/>
        <v>0</v>
      </c>
      <c r="O77" s="500"/>
      <c r="P77" s="94"/>
      <c r="Q77" s="94"/>
    </row>
    <row r="78" ht="12" customHeight="1">
      <c r="B78" s="114" t="s">
        <v>310</v>
      </c>
      <c r="C78" s="501"/>
      <c r="D78" s="501"/>
      <c r="E78" s="501"/>
      <c r="F78" s="501"/>
      <c r="G78" s="501"/>
      <c r="H78" s="501"/>
      <c r="I78" s="501"/>
      <c r="J78" s="501"/>
      <c r="K78" s="501"/>
      <c r="L78" s="501"/>
      <c r="M78" s="501"/>
      <c r="N78" s="501"/>
      <c r="O78" s="501"/>
      <c r="P78" s="94"/>
      <c r="Q78" s="94"/>
    </row>
    <row r="79" ht="12" customHeight="1">
      <c r="B79" s="462" t="s">
        <v>210</v>
      </c>
      <c r="C79" s="365">
        <f>IF($C$71&lt;13,0,ABS(IPMT($C$70/12,13,$C$71,$C$69)))</f>
        <v>0</v>
      </c>
      <c r="D79" s="365">
        <f>IF($C$71&lt;14,0,ABS(IPMT($C$70/12,14,$C$71,$C$69)))</f>
        <v>0</v>
      </c>
      <c r="E79" s="365">
        <f>IF($C$71&lt;15,0,ABS(IPMT($C$70/12,15,$C$71,$C$69)))</f>
        <v>0</v>
      </c>
      <c r="F79" s="365">
        <f>IF($C$71&lt;16,0,ABS(IPMT($C$70/12,16,$C$71,$C$69)))</f>
        <v>0</v>
      </c>
      <c r="G79" s="365">
        <f>IF($C$71&lt;17,0,ABS(IPMT($C$70/12,17,$C$71,$C$69)))</f>
        <v>0</v>
      </c>
      <c r="H79" s="365">
        <f>IF($C$71&lt;18,0,ABS(IPMT($C$70/12,18,$C$71,$C$69)))</f>
        <v>0</v>
      </c>
      <c r="I79" s="365">
        <f>IF($C$71&lt;19,0,ABS(IPMT($C$70/12,19,$C$71,$C$69)))</f>
        <v>0</v>
      </c>
      <c r="J79" s="365">
        <f>IF($C$71&lt;20,0,ABS(IPMT($C$70/12,20,$C$71,$C$69)))</f>
        <v>0</v>
      </c>
      <c r="K79" s="365">
        <f>IF($C$71&lt;21,0,ABS(IPMT($C$70/12,21,$C$71,$C$69)))</f>
        <v>0</v>
      </c>
      <c r="L79" s="365">
        <f>IF($C$71&lt;22,0,ABS(IPMT($C$70/12,22,$C$71,$C$69)))</f>
        <v>0</v>
      </c>
      <c r="M79" s="365">
        <f>IF($C$71&lt;23,0,ABS(IPMT($C$70/12,23,$C$71,$C$69)))</f>
        <v>0</v>
      </c>
      <c r="N79" s="365">
        <f>IF($C$71&lt;24,0,ABS(IPMT($C$70/12,24,$C$71,$C$69)))</f>
        <v>0</v>
      </c>
      <c r="O79" s="498">
        <f t="shared" si="0"/>
        <v>0</v>
      </c>
      <c r="P79" s="94"/>
      <c r="Q79" s="94"/>
    </row>
    <row r="80" ht="12" customHeight="1">
      <c r="B80" s="462" t="s">
        <v>406</v>
      </c>
      <c r="C80" s="365">
        <f>IF($C$71&lt;13,0,ABS(PPMT($C$70/12,13,$C$71,$C$69)))</f>
        <v>0</v>
      </c>
      <c r="D80" s="365">
        <f>IF($C$71&lt;14,0,ABS(PPMT($C$70/12,14,$C$71,$C$69)))</f>
        <v>0</v>
      </c>
      <c r="E80" s="365">
        <f>IF($C$71&lt;15,0,ABS(PPMT($C$70/12,15,$C$71,$C$69)))</f>
        <v>0</v>
      </c>
      <c r="F80" s="365">
        <f>IF($C$71&lt;16,0,ABS(PPMT($C$70/12,16,$C$71,$C$69)))</f>
        <v>0</v>
      </c>
      <c r="G80" s="365">
        <f>IF($C$71&lt;17,0,ABS(PPMT($C$70/12,17,$C$71,$C$69)))</f>
        <v>0</v>
      </c>
      <c r="H80" s="365">
        <f>IF($C$71&lt;18,0,ABS(PPMT($C$70/12,18,$C$71,$C$69)))</f>
        <v>0</v>
      </c>
      <c r="I80" s="365">
        <f>IF($C$71&lt;19,0,ABS(PPMT($C$70/12,19,$C$71,$C$69)))</f>
        <v>0</v>
      </c>
      <c r="J80" s="365">
        <f>IF($C$71&lt;20,0,ABS(PPMT($C$70/12,20,$C$71,$C$69)))</f>
        <v>0</v>
      </c>
      <c r="K80" s="365">
        <f>IF($C$71&lt;21,0,ABS(PPMT($C$70/12,21,$C$71,$C$69)))</f>
        <v>0</v>
      </c>
      <c r="L80" s="365">
        <f>IF($C$71&lt;22,0,ABS(PPMT($C$70/12,22,$C$71,$C$69)))</f>
        <v>0</v>
      </c>
      <c r="M80" s="365">
        <f>IF($C$71&lt;23,0,ABS(PPMT($C$70/12,23,$C$71,$C$69)))</f>
        <v>0</v>
      </c>
      <c r="N80" s="365">
        <f>IF($C$71&lt;24,0,ABS(PPMT($C$70/12,24,$C$71,$C$69)))</f>
        <v>0</v>
      </c>
      <c r="O80" s="498">
        <f t="shared" si="0"/>
        <v>0</v>
      </c>
      <c r="P80" s="94"/>
      <c r="Q80" s="94"/>
    </row>
    <row r="81" ht="12" customHeight="1">
      <c r="B81" s="462" t="s">
        <v>407</v>
      </c>
      <c r="C81" s="499">
        <f t="shared" si="2"/>
        <v>0</v>
      </c>
      <c r="D81" s="499">
        <f t="shared" si="1"/>
        <v>0</v>
      </c>
      <c r="E81" s="499">
        <f t="shared" si="1"/>
        <v>0</v>
      </c>
      <c r="F81" s="499">
        <f t="shared" si="1"/>
        <v>0</v>
      </c>
      <c r="G81" s="499">
        <f t="shared" si="1"/>
        <v>0</v>
      </c>
      <c r="H81" s="499">
        <f t="shared" si="1"/>
        <v>0</v>
      </c>
      <c r="I81" s="499">
        <f t="shared" si="1"/>
        <v>0</v>
      </c>
      <c r="J81" s="499">
        <f t="shared" si="1"/>
        <v>0</v>
      </c>
      <c r="K81" s="499">
        <f t="shared" si="1"/>
        <v>0</v>
      </c>
      <c r="L81" s="499">
        <f t="shared" si="1"/>
        <v>0</v>
      </c>
      <c r="M81" s="499">
        <f t="shared" si="1"/>
        <v>0</v>
      </c>
      <c r="N81" s="499">
        <f t="shared" si="1"/>
        <v>0</v>
      </c>
      <c r="O81" s="500"/>
      <c r="P81" s="94"/>
      <c r="Q81" s="94"/>
    </row>
    <row r="82" ht="12" customHeight="1">
      <c r="B82" s="114" t="s">
        <v>311</v>
      </c>
      <c r="C82" s="501"/>
      <c r="D82" s="501"/>
      <c r="E82" s="501"/>
      <c r="F82" s="501"/>
      <c r="G82" s="501"/>
      <c r="H82" s="501"/>
      <c r="I82" s="501"/>
      <c r="J82" s="501"/>
      <c r="K82" s="501"/>
      <c r="L82" s="501"/>
      <c r="M82" s="501"/>
      <c r="N82" s="501"/>
      <c r="O82" s="501"/>
      <c r="P82" s="94"/>
      <c r="Q82" s="94"/>
    </row>
    <row r="83" ht="12" customHeight="1">
      <c r="B83" s="462" t="s">
        <v>210</v>
      </c>
      <c r="C83" s="365">
        <f>IF($C$71&lt;25,0,ABS(IPMT($C$70/12,25,$C$71,$C$69)))</f>
        <v>0</v>
      </c>
      <c r="D83" s="365">
        <f>IF($C$71&lt;26,0,ABS(IPMT($C$70/12,26,$C$71,$C$69)))</f>
        <v>0</v>
      </c>
      <c r="E83" s="365">
        <f>IF($C$71&lt;27,0,ABS(IPMT($C$70/12,27,$C$71,$C$69)))</f>
        <v>0</v>
      </c>
      <c r="F83" s="365">
        <f>IF($C$71&lt;28,0,ABS(IPMT($C$70/12,28,$C$71,$C$69)))</f>
        <v>0</v>
      </c>
      <c r="G83" s="365">
        <f>IF($C$71&lt;29,0,ABS(IPMT($C$70/12,29,$C$71,$C$69)))</f>
        <v>0</v>
      </c>
      <c r="H83" s="365">
        <f>IF($C$71&lt;30,0,ABS(IPMT($C$70/12,30,$C$71,$C$69)))</f>
        <v>0</v>
      </c>
      <c r="I83" s="365">
        <f>IF($C$71&lt;31,0,ABS(IPMT($C$70/12,31,$C$71,$C$69)))</f>
        <v>0</v>
      </c>
      <c r="J83" s="365">
        <f>IF($C$71&lt;32,0,ABS(IPMT($C$70/12,32,$C$71,$C$69)))</f>
        <v>0</v>
      </c>
      <c r="K83" s="365">
        <f>IF($C$71&lt;33,0,ABS(IPMT($C$70/12,33,$C$71,$C$69)))</f>
        <v>0</v>
      </c>
      <c r="L83" s="365">
        <f>IF($C$71&lt;34,0,ABS(IPMT($C$70/12,34,$C$71,$C$69)))</f>
        <v>0</v>
      </c>
      <c r="M83" s="365">
        <f>IF($C$71&lt;34,0,ABS(IPMT($C$70/12,35,$C$71,$C$69)))</f>
        <v>0</v>
      </c>
      <c r="N83" s="365">
        <f>IF($C$71&lt;36,0,ABS(IPMT($C$70/12,36,$C$71,$C$69)))</f>
        <v>0</v>
      </c>
      <c r="O83" s="498">
        <f t="shared" si="0"/>
        <v>0</v>
      </c>
      <c r="P83" s="94"/>
      <c r="Q83" s="94"/>
    </row>
    <row r="84" ht="12" customHeight="1">
      <c r="B84" s="462" t="s">
        <v>406</v>
      </c>
      <c r="C84" s="365">
        <f>IF($C$71&lt;25,0,ABS(PPMT($C$70/12,25,$C$71,$C$69)))</f>
        <v>0</v>
      </c>
      <c r="D84" s="365">
        <f>IF($C$71&lt;26,0,ABS(PPMT($C$70/12,26,$C$71,$C$69)))</f>
        <v>0</v>
      </c>
      <c r="E84" s="365">
        <f>IF($C$71&lt;27,0,ABS(PPMT($C$70/12,27,$C$71,$C$69)))</f>
        <v>0</v>
      </c>
      <c r="F84" s="365">
        <f>IF($C$71&lt;28,0,ABS(PPMT($C$70/12,28,$C$71,$C$69)))</f>
        <v>0</v>
      </c>
      <c r="G84" s="365">
        <f>IF($C$71&lt;29,0,ABS(PPMT($C$70/12,29,$C$71,$C$69)))</f>
        <v>0</v>
      </c>
      <c r="H84" s="365">
        <f>IF($C$71&lt;30,0,ABS(PPMT($C$70/12,30,$C$71,$C$69)))</f>
        <v>0</v>
      </c>
      <c r="I84" s="365">
        <f>IF($C$71&lt;31,0,ABS(PPMT($C$70/12,31,$C$71,$C$69)))</f>
        <v>0</v>
      </c>
      <c r="J84" s="365">
        <f>IF($C$71&lt;32,0,ABS(PPMT($C$70/12,32,$C$71,$C$69)))</f>
        <v>0</v>
      </c>
      <c r="K84" s="365">
        <f>IF($C$71&lt;33,0,ABS(PPMT($C$70/12,33,$C$71,$C$69)))</f>
        <v>0</v>
      </c>
      <c r="L84" s="365">
        <f>IF($C$71&lt;34,0,ABS(PPMT($C$70/12,34,$C$71,$C$69)))</f>
        <v>0</v>
      </c>
      <c r="M84" s="365">
        <f>ABS(PPMT($C$70/12,35,$C$71,$C$69))</f>
        <v>0</v>
      </c>
      <c r="N84" s="365">
        <f>IF($C$71&lt;36,0,ABS(PPMT($C$70/12,36,$C$71,$C$69)))</f>
        <v>0</v>
      </c>
      <c r="O84" s="498">
        <f t="shared" si="0"/>
        <v>0</v>
      </c>
      <c r="P84" s="94"/>
      <c r="Q84" s="94"/>
    </row>
    <row r="85" ht="12" customHeight="1">
      <c r="B85" s="462" t="s">
        <v>407</v>
      </c>
      <c r="C85" s="499">
        <f t="shared" si="2"/>
        <v>0</v>
      </c>
      <c r="D85" s="499">
        <f t="shared" si="1"/>
        <v>0</v>
      </c>
      <c r="E85" s="499">
        <f t="shared" si="1"/>
        <v>0</v>
      </c>
      <c r="F85" s="499">
        <f t="shared" si="1"/>
        <v>0</v>
      </c>
      <c r="G85" s="499">
        <f t="shared" si="1"/>
        <v>0</v>
      </c>
      <c r="H85" s="499">
        <f t="shared" si="1"/>
        <v>0</v>
      </c>
      <c r="I85" s="499">
        <f t="shared" si="1"/>
        <v>0</v>
      </c>
      <c r="J85" s="499">
        <f t="shared" si="1"/>
        <v>0</v>
      </c>
      <c r="K85" s="499">
        <f t="shared" si="1"/>
        <v>0</v>
      </c>
      <c r="L85" s="499">
        <f t="shared" si="1"/>
        <v>0</v>
      </c>
      <c r="M85" s="499">
        <f t="shared" si="1"/>
        <v>0</v>
      </c>
      <c r="N85" s="499">
        <f t="shared" si="1"/>
        <v>0</v>
      </c>
      <c r="O85" s="500"/>
      <c r="P85" s="94"/>
      <c r="Q85" s="94"/>
    </row>
    <row r="86" ht="12" customHeight="1">
      <c r="B86" s="89"/>
      <c r="C86" s="89"/>
      <c r="D86" s="94"/>
      <c r="E86" s="94"/>
      <c r="F86" s="94"/>
      <c r="G86" s="94"/>
      <c r="H86" s="94"/>
      <c r="I86" s="94"/>
      <c r="J86" s="94"/>
      <c r="K86" s="94"/>
      <c r="L86" s="94"/>
      <c r="M86" s="94"/>
      <c r="N86" s="94"/>
      <c r="O86" s="94"/>
      <c r="P86" s="94"/>
      <c r="Q86" s="94"/>
    </row>
    <row r="87" ht="12" customHeight="1">
      <c r="B87" s="89"/>
      <c r="C87" s="89"/>
      <c r="D87" s="94"/>
      <c r="E87" s="94"/>
      <c r="F87" s="94"/>
      <c r="G87" s="94"/>
      <c r="H87" s="94"/>
      <c r="I87" s="94"/>
      <c r="J87" s="94"/>
      <c r="K87" s="94"/>
      <c r="L87" s="94"/>
      <c r="M87" s="94"/>
      <c r="N87" s="94"/>
      <c r="O87" s="94"/>
      <c r="P87" s="94"/>
      <c r="Q87" s="94"/>
    </row>
    <row r="88" ht="12.75" customHeight="1">
      <c r="B88" s="96" t="s">
        <v>64</v>
      </c>
      <c r="C88" s="96"/>
      <c r="D88" s="94"/>
      <c r="E88" s="94"/>
      <c r="F88" s="94"/>
      <c r="G88" s="94"/>
      <c r="H88" s="94"/>
      <c r="I88" s="94"/>
      <c r="J88" s="94"/>
      <c r="K88" s="94"/>
      <c r="L88" s="94"/>
      <c r="M88" s="94"/>
      <c r="N88" s="94"/>
      <c r="O88" s="94"/>
      <c r="P88" s="94"/>
      <c r="Q88" s="94"/>
    </row>
    <row r="89" ht="12.75" customHeight="1">
      <c r="B89" s="301" t="s">
        <v>402</v>
      </c>
      <c r="C89" s="504">
        <f>OtherBankDebt</f>
        <v>0</v>
      </c>
      <c r="D89" s="94"/>
      <c r="E89" s="94"/>
      <c r="F89" s="94"/>
      <c r="G89" s="94"/>
      <c r="H89" s="94"/>
      <c r="I89" s="94"/>
      <c r="J89" s="94"/>
      <c r="K89" s="94"/>
      <c r="L89" s="94"/>
      <c r="M89" s="94"/>
      <c r="N89" s="94"/>
      <c r="O89" s="94"/>
      <c r="P89" s="94"/>
      <c r="Q89" s="94"/>
    </row>
    <row r="90" ht="12" customHeight="1">
      <c r="B90" s="114" t="s">
        <v>403</v>
      </c>
      <c r="C90" s="494">
        <f>'1-StartingPoint'!E41</f>
        <v>0.05</v>
      </c>
      <c r="D90" s="94"/>
      <c r="E90" s="94"/>
      <c r="F90" s="94"/>
      <c r="G90" s="94"/>
      <c r="H90" s="94"/>
      <c r="I90" s="94"/>
      <c r="J90" s="94"/>
      <c r="K90" s="94"/>
      <c r="L90" s="94"/>
      <c r="M90" s="94"/>
      <c r="N90" s="94"/>
      <c r="O90" s="94"/>
      <c r="P90" s="94"/>
      <c r="Q90" s="94"/>
    </row>
    <row r="91" ht="12" customHeight="1">
      <c r="B91" s="114" t="s">
        <v>404</v>
      </c>
      <c r="C91" s="495">
        <f>'1-StartingPoint'!F41</f>
        <v>36</v>
      </c>
      <c r="D91" s="94"/>
      <c r="E91" s="94"/>
      <c r="F91" s="94"/>
      <c r="G91" s="94"/>
      <c r="H91" s="94"/>
      <c r="I91" s="94"/>
      <c r="J91" s="94"/>
      <c r="K91" s="94"/>
      <c r="L91" s="94"/>
      <c r="M91" s="94"/>
      <c r="N91" s="94"/>
      <c r="O91" s="94"/>
      <c r="P91" s="94"/>
      <c r="Q91" s="94"/>
    </row>
    <row r="92" ht="12" customHeight="1">
      <c r="B92" s="114" t="s">
        <v>405</v>
      </c>
      <c r="C92" s="496">
        <f t="shared" si="3"/>
        <v>0</v>
      </c>
      <c r="D92" s="94"/>
      <c r="E92" s="94"/>
      <c r="F92" s="94"/>
      <c r="G92" s="94"/>
      <c r="H92" s="94"/>
      <c r="I92" s="94"/>
      <c r="J92" s="94"/>
      <c r="K92" s="94"/>
      <c r="L92" s="94"/>
      <c r="M92" s="94"/>
      <c r="N92" s="94"/>
      <c r="O92" s="94"/>
      <c r="P92" s="94"/>
      <c r="Q92" s="94"/>
    </row>
    <row r="93" ht="12" customHeight="1">
      <c r="B93" s="114"/>
      <c r="C93" s="497" t="str">
        <f>'3a-SalesForecastYear1'!$C$16</f>
        <v>Month 1</v>
      </c>
      <c r="D93" s="497" t="str">
        <f>'3a-SalesForecastYear1'!$D$16</f>
        <v>Month 2</v>
      </c>
      <c r="E93" s="497" t="str">
        <f>'3a-SalesForecastYear1'!$E$16</f>
        <v>Month 3</v>
      </c>
      <c r="F93" s="497" t="str">
        <f>'3a-SalesForecastYear1'!$F$16</f>
        <v>Month 4</v>
      </c>
      <c r="G93" s="497" t="str">
        <f>'3a-SalesForecastYear1'!$G$16</f>
        <v>Month 5</v>
      </c>
      <c r="H93" s="497" t="str">
        <f>'3a-SalesForecastYear1'!$H$16</f>
        <v>Month 6</v>
      </c>
      <c r="I93" s="497" t="str">
        <f>'3a-SalesForecastYear1'!$I$16</f>
        <v>Month 7</v>
      </c>
      <c r="J93" s="497" t="str">
        <f>'3a-SalesForecastYear1'!$J$16</f>
        <v>Month 8</v>
      </c>
      <c r="K93" s="497" t="str">
        <f>'3a-SalesForecastYear1'!$K$16</f>
        <v>Month 9</v>
      </c>
      <c r="L93" s="497" t="str">
        <f>'3a-SalesForecastYear1'!$L$16</f>
        <v>Month 10</v>
      </c>
      <c r="M93" s="497" t="str">
        <f>'3a-SalesForecastYear1'!$M$16</f>
        <v>Month 11</v>
      </c>
      <c r="N93" s="497" t="str">
        <f>'3a-SalesForecastYear1'!$N$16</f>
        <v>Month 12</v>
      </c>
      <c r="O93" s="497" t="s">
        <v>52</v>
      </c>
      <c r="P93" s="94"/>
      <c r="Q93" s="94"/>
    </row>
    <row r="94" ht="12" customHeight="1">
      <c r="B94" s="114" t="s">
        <v>309</v>
      </c>
      <c r="C94" s="105"/>
      <c r="D94" s="105"/>
      <c r="E94" s="105"/>
      <c r="F94" s="105"/>
      <c r="G94" s="105"/>
      <c r="H94" s="105"/>
      <c r="I94" s="105"/>
      <c r="J94" s="105"/>
      <c r="K94" s="105"/>
      <c r="L94" s="105"/>
      <c r="M94" s="105"/>
      <c r="N94" s="105"/>
      <c r="O94" s="105"/>
      <c r="P94" s="94"/>
      <c r="Q94" s="94"/>
    </row>
    <row r="95" ht="12" customHeight="1">
      <c r="B95" s="462" t="s">
        <v>210</v>
      </c>
      <c r="C95" s="365">
        <f>ABS(IPMT($C$90/12,1,$C$91,$C$89))</f>
        <v>0</v>
      </c>
      <c r="D95" s="365">
        <f>ABS(IPMT($C$90/12,2,$C$91,$C$89))</f>
        <v>0</v>
      </c>
      <c r="E95" s="365">
        <f>ABS(IPMT($C$90/12,3,$C$91,$C$89))</f>
        <v>0</v>
      </c>
      <c r="F95" s="365">
        <f>ABS(IPMT($C$90/12,4,$C$91,$C$89))</f>
        <v>0</v>
      </c>
      <c r="G95" s="365">
        <f>ABS(IPMT($C$90/12,5,$C$91,$C$89))</f>
        <v>0</v>
      </c>
      <c r="H95" s="365">
        <f>ABS(IPMT($C$90/12,6,$C$91,$C$89))</f>
        <v>0</v>
      </c>
      <c r="I95" s="365">
        <f>ABS(IPMT($C$90/12,7,$C$91,$C$89))</f>
        <v>0</v>
      </c>
      <c r="J95" s="365">
        <f>ABS(IPMT($C$90/12,8,$C$91,$C$89))</f>
        <v>0</v>
      </c>
      <c r="K95" s="365">
        <f>ABS(IPMT($C$90/12,9,$C$91,$C$89))</f>
        <v>0</v>
      </c>
      <c r="L95" s="365">
        <f>ABS(IPMT($C$90/12,10,$C$91,$C$89))</f>
        <v>0</v>
      </c>
      <c r="M95" s="365">
        <f>ABS(IPMT($C$90/12,11,$C$91,$C$89))</f>
        <v>0</v>
      </c>
      <c r="N95" s="365">
        <f>ABS(IPMT($C$90/12,12,$C$91,$C$89))</f>
        <v>0</v>
      </c>
      <c r="O95" s="498">
        <f t="shared" si="0"/>
        <v>0</v>
      </c>
      <c r="P95" s="94"/>
      <c r="Q95" s="94"/>
    </row>
    <row r="96" ht="12" customHeight="1">
      <c r="B96" s="462" t="s">
        <v>406</v>
      </c>
      <c r="C96" s="365">
        <f>ABS(PPMT($C$90/12,1,$C$91,$C$89))</f>
        <v>0</v>
      </c>
      <c r="D96" s="365">
        <f>ABS(PPMT($C$90/12,2,$C$91,$C$89))</f>
        <v>0</v>
      </c>
      <c r="E96" s="365">
        <f>ABS(PPMT($C$90/12,3,$C$91,$C$89))</f>
        <v>0</v>
      </c>
      <c r="F96" s="365">
        <f>ABS(PPMT($C$90/12,4,$C$91,$C$89))</f>
        <v>0</v>
      </c>
      <c r="G96" s="365">
        <f>ABS(PPMT($C$90/12,5,$C$91,$C$89))</f>
        <v>0</v>
      </c>
      <c r="H96" s="365">
        <f>ABS(PPMT($C$90/12,6,$C$91,$C$89))</f>
        <v>0</v>
      </c>
      <c r="I96" s="365">
        <f>ABS(PPMT($C$90/12,7,$C$91,$C$89))</f>
        <v>0</v>
      </c>
      <c r="J96" s="365">
        <f>ABS(PPMT($C$90/12,8,$C$91,$C$89))</f>
        <v>0</v>
      </c>
      <c r="K96" s="365">
        <f>ABS(PPMT($C$90/12,9,$C$91,$C$89))</f>
        <v>0</v>
      </c>
      <c r="L96" s="365">
        <f>ABS(PPMT($C$90/12,10,$C$91,$C$89))</f>
        <v>0</v>
      </c>
      <c r="M96" s="365">
        <f>ABS(PPMT($C$90/12,11,$C$91,$C$89))</f>
        <v>0</v>
      </c>
      <c r="N96" s="365">
        <f>ABS(PPMT($C$90/12,12,$C$91,$C$89))</f>
        <v>0</v>
      </c>
      <c r="O96" s="498">
        <f t="shared" si="0"/>
        <v>0</v>
      </c>
      <c r="P96" s="94"/>
      <c r="Q96" s="94"/>
    </row>
    <row r="97" ht="12" customHeight="1">
      <c r="B97" s="462" t="s">
        <v>407</v>
      </c>
      <c r="C97" s="499">
        <f>$C$89-C96</f>
        <v>0</v>
      </c>
      <c r="D97" s="499">
        <f t="shared" si="1"/>
        <v>0</v>
      </c>
      <c r="E97" s="499">
        <f t="shared" si="1"/>
        <v>0</v>
      </c>
      <c r="F97" s="499">
        <f t="shared" si="1"/>
        <v>0</v>
      </c>
      <c r="G97" s="499">
        <f t="shared" si="1"/>
        <v>0</v>
      </c>
      <c r="H97" s="499">
        <f t="shared" si="1"/>
        <v>0</v>
      </c>
      <c r="I97" s="499">
        <f t="shared" si="1"/>
        <v>0</v>
      </c>
      <c r="J97" s="499">
        <f t="shared" si="1"/>
        <v>0</v>
      </c>
      <c r="K97" s="499">
        <f t="shared" si="1"/>
        <v>0</v>
      </c>
      <c r="L97" s="499">
        <f t="shared" si="1"/>
        <v>0</v>
      </c>
      <c r="M97" s="499">
        <f t="shared" si="1"/>
        <v>0</v>
      </c>
      <c r="N97" s="499">
        <f t="shared" si="1"/>
        <v>0</v>
      </c>
      <c r="O97" s="500"/>
      <c r="P97" s="94"/>
      <c r="Q97" s="94"/>
    </row>
    <row r="98" ht="12" customHeight="1">
      <c r="B98" s="114" t="s">
        <v>310</v>
      </c>
      <c r="C98" s="501"/>
      <c r="D98" s="501"/>
      <c r="E98" s="501"/>
      <c r="F98" s="501"/>
      <c r="G98" s="501"/>
      <c r="H98" s="501"/>
      <c r="I98" s="501"/>
      <c r="J98" s="501"/>
      <c r="K98" s="501"/>
      <c r="L98" s="501"/>
      <c r="M98" s="501"/>
      <c r="N98" s="501"/>
      <c r="O98" s="501"/>
      <c r="P98" s="94"/>
      <c r="Q98" s="94"/>
    </row>
    <row r="99" ht="12" customHeight="1">
      <c r="B99" s="462" t="s">
        <v>210</v>
      </c>
      <c r="C99" s="365">
        <f>IF($C$91&lt;13,0,ABS(IPMT($C$90/12,13,$C$91,$C$89)))</f>
        <v>0</v>
      </c>
      <c r="D99" s="365">
        <f>IF($C$91&lt;14,0,ABS(IPMT($C$90/12,14,$C$91,$C$89)))</f>
        <v>0</v>
      </c>
      <c r="E99" s="365">
        <f>IF($C$91&lt;15,0,ABS(IPMT($C$90/12,15,$C$91,$C$89)))</f>
        <v>0</v>
      </c>
      <c r="F99" s="365">
        <f>IF($C$91&lt;16,0,ABS(IPMT($C$90/12,16,$C$91,$C$89)))</f>
        <v>0</v>
      </c>
      <c r="G99" s="365">
        <f>IF($C$91&lt;17,0,ABS(IPMT($C$90/12,17,$C$91,$C$89)))</f>
        <v>0</v>
      </c>
      <c r="H99" s="365">
        <f>IF($C$91&lt;18,0,ABS(IPMT($C$90/12,18,$C$91,$C$89)))</f>
        <v>0</v>
      </c>
      <c r="I99" s="365">
        <f>IF($C$91&lt;19,0,ABS(IPMT($C$90/12,19,$C$91,$C$89)))</f>
        <v>0</v>
      </c>
      <c r="J99" s="365">
        <f>IF($C$91&lt;20,0,ABS(IPMT($C$90/12,20,$C$91,$C$89)))</f>
        <v>0</v>
      </c>
      <c r="K99" s="365">
        <f>IF($C$91&lt;21,0,ABS(IPMT($C$90/12,21,$C$91,$C$89)))</f>
        <v>0</v>
      </c>
      <c r="L99" s="365">
        <f>IF($C$91&lt;22,0,ABS(IPMT($C$90/12,22,$C$91,$C$89)))</f>
        <v>0</v>
      </c>
      <c r="M99" s="365">
        <f>IF($C$91&lt;23,0,ABS(IPMT($C$90/23,11,$C$91,$C$89)))</f>
        <v>0</v>
      </c>
      <c r="N99" s="365">
        <f>IF($C$91&lt;24,0,ABS(IPMT($C$90/12,24,$C$91,$C$89)))</f>
        <v>0</v>
      </c>
      <c r="O99" s="498">
        <f t="shared" si="0"/>
        <v>0</v>
      </c>
      <c r="P99" s="94"/>
      <c r="Q99" s="94"/>
    </row>
    <row r="100" ht="12" customHeight="1">
      <c r="B100" s="462" t="s">
        <v>406</v>
      </c>
      <c r="C100" s="365">
        <f>IF($C$91&lt;13,0,ABS(PPMT($C$90/12,13,$C$91,$C$89)))</f>
        <v>0</v>
      </c>
      <c r="D100" s="365">
        <f>IF($C$91&lt;14,0,ABS(PPMT($C$90/12,14,$C$91,$C$89)))</f>
        <v>0</v>
      </c>
      <c r="E100" s="365">
        <f>IF($C$91&lt;15,0,ABS(PPMT($C$90/12,15,$C$91,$C$89)))</f>
        <v>0</v>
      </c>
      <c r="F100" s="365">
        <f>IF($C$91&lt;16,0,ABS(PPMT($C$90/12,16,$C$91,$C$89)))</f>
        <v>0</v>
      </c>
      <c r="G100" s="365">
        <f>IF($C$91&lt;17,0,ABS(PPMT($C$90/12,17,$C$91,$C$89)))</f>
        <v>0</v>
      </c>
      <c r="H100" s="365">
        <f>IF($C$91&lt;18,0,ABS(PPMT($C$90/12,18,$C$91,$C$89)))</f>
        <v>0</v>
      </c>
      <c r="I100" s="365">
        <f>IF($C$91&lt;19,0,ABS(PPMT($C$90/12,19,$C$91,$C$89)))</f>
        <v>0</v>
      </c>
      <c r="J100" s="365">
        <f>IF($C$91&lt;20,0,ABS(PPMT($C$90/12,20,$C$91,$C$89)))</f>
        <v>0</v>
      </c>
      <c r="K100" s="365">
        <f>IF($C$91&lt;21,0,ABS(PPMT($C$90/12,21,$C$91,$C$89)))</f>
        <v>0</v>
      </c>
      <c r="L100" s="365">
        <f>IF($C$91&lt;22,0,ABS(PPMT($C$90/12,22,$C$91,$C$89)))</f>
        <v>0</v>
      </c>
      <c r="M100" s="365">
        <f>IF($C$91&lt;23,0,ABS(PPMT($C$90/12,23,$C$91,$C$89)))</f>
        <v>0</v>
      </c>
      <c r="N100" s="365">
        <f>IF($C$91&lt;24,0,ABS(PPMT($C$90/12,24,$C$91,$C$89)))</f>
        <v>0</v>
      </c>
      <c r="O100" s="498">
        <f t="shared" si="0"/>
        <v>0</v>
      </c>
      <c r="P100" s="94"/>
      <c r="Q100" s="94"/>
    </row>
    <row r="101" ht="12" customHeight="1">
      <c r="B101" s="462" t="s">
        <v>407</v>
      </c>
      <c r="C101" s="499">
        <f t="shared" si="2"/>
        <v>0</v>
      </c>
      <c r="D101" s="499">
        <f t="shared" si="1"/>
        <v>0</v>
      </c>
      <c r="E101" s="499">
        <f t="shared" si="1"/>
        <v>0</v>
      </c>
      <c r="F101" s="499">
        <f t="shared" si="1"/>
        <v>0</v>
      </c>
      <c r="G101" s="499">
        <f t="shared" si="1"/>
        <v>0</v>
      </c>
      <c r="H101" s="499">
        <f t="shared" si="1"/>
        <v>0</v>
      </c>
      <c r="I101" s="499">
        <f t="shared" si="1"/>
        <v>0</v>
      </c>
      <c r="J101" s="499">
        <f t="shared" si="1"/>
        <v>0</v>
      </c>
      <c r="K101" s="499">
        <f t="shared" si="1"/>
        <v>0</v>
      </c>
      <c r="L101" s="499">
        <f t="shared" si="1"/>
        <v>0</v>
      </c>
      <c r="M101" s="499">
        <f t="shared" si="1"/>
        <v>0</v>
      </c>
      <c r="N101" s="499">
        <f t="shared" si="1"/>
        <v>0</v>
      </c>
      <c r="O101" s="500"/>
      <c r="P101" s="94"/>
      <c r="Q101" s="94"/>
    </row>
    <row r="102" ht="12" customHeight="1">
      <c r="B102" s="114" t="s">
        <v>311</v>
      </c>
      <c r="C102" s="501"/>
      <c r="D102" s="501"/>
      <c r="E102" s="501"/>
      <c r="F102" s="501"/>
      <c r="G102" s="501"/>
      <c r="H102" s="501"/>
      <c r="I102" s="501"/>
      <c r="J102" s="501"/>
      <c r="K102" s="501"/>
      <c r="L102" s="501"/>
      <c r="M102" s="501"/>
      <c r="N102" s="501"/>
      <c r="O102" s="501"/>
      <c r="P102" s="94"/>
      <c r="Q102" s="94"/>
    </row>
    <row r="103" ht="12" customHeight="1">
      <c r="B103" s="462" t="s">
        <v>210</v>
      </c>
      <c r="C103" s="365">
        <f>IF($C$91&lt;25,0,ABS(IPMT($C$90/12,25,$C$91,$C$89)))</f>
        <v>0</v>
      </c>
      <c r="D103" s="365">
        <f>IF($C$91&lt;26,0,ABS(IPMT($C$90/12,26,$C$91,$C$89)))</f>
        <v>0</v>
      </c>
      <c r="E103" s="365">
        <f>IF($C$91&lt;27,0,ABS(IPMT($C$90/12,27,$C$91,$C$89)))</f>
        <v>0</v>
      </c>
      <c r="F103" s="365">
        <f>IF($C$91&lt;28,0,ABS(IPMT($C$90/12,28,$C$91,$C$89)))</f>
        <v>0</v>
      </c>
      <c r="G103" s="365">
        <f>IF($C$91&lt;29,0,ABS(IPMT($C$90/12,29,$C$91,$C$89)))</f>
        <v>0</v>
      </c>
      <c r="H103" s="365">
        <f>IF($C$91&lt;30,0,ABS(IPMT($C$90/12,30,$C$91,$C$89)))</f>
        <v>0</v>
      </c>
      <c r="I103" s="365">
        <f>IF($C$91&lt;31,0,ABS(IPMT($C$90/12,31,$C$91,$C$89)))</f>
        <v>0</v>
      </c>
      <c r="J103" s="365">
        <f>IF($C$91&lt;32,0,ABS(IPMT($C$90/12,32,$C$91,$C$89)))</f>
        <v>0</v>
      </c>
      <c r="K103" s="365">
        <f>IF($C$91&lt;33,0,ABS(IPMT($C$90/12,33,$C$91,$C$89)))</f>
        <v>0</v>
      </c>
      <c r="L103" s="365">
        <f>IF($C$91&lt;34,0,ABS(IPMT($C$90/12,34,$C$91,$C$89)))</f>
        <v>0</v>
      </c>
      <c r="M103" s="365">
        <f>IF($C$91&lt;35,0,ABS(IPMT($C$90/12,35,$C$91,$C$89)))</f>
        <v>0</v>
      </c>
      <c r="N103" s="365">
        <f>IF($C$91&lt;36,0,ABS(IPMT($C$90/12,36,$C$91,$C$89)))</f>
        <v>0</v>
      </c>
      <c r="O103" s="498">
        <f t="shared" si="0"/>
        <v>0</v>
      </c>
      <c r="P103" s="94"/>
      <c r="Q103" s="94"/>
    </row>
    <row r="104" ht="12" customHeight="1">
      <c r="B104" s="462" t="s">
        <v>406</v>
      </c>
      <c r="C104" s="365">
        <f>IF($C$91&lt;25,0,ABS(PPMT($C$90/12,25,$C$91,$C$89)))</f>
        <v>0</v>
      </c>
      <c r="D104" s="365">
        <f>IF($C$91&lt;26,0,ABS(PPMT($C$90/12,26,$C$91,$C$89)))</f>
        <v>0</v>
      </c>
      <c r="E104" s="365">
        <f>IF($C$91&lt;27,0,ABS(PPMT($C$90/12,27,$C$91,$C$89)))</f>
        <v>0</v>
      </c>
      <c r="F104" s="365">
        <f>IF($C$91&lt;28,0,ABS(PPMT($C$90/12,28,$C$91,$C$89)))</f>
        <v>0</v>
      </c>
      <c r="G104" s="365">
        <f>IF($C$91&lt;29,0,ABS(PPMT($C$90/12,29,$C$91,$C$89)))</f>
        <v>0</v>
      </c>
      <c r="H104" s="365">
        <f>IF($C$91&lt;30,0,ABS(PPMT($C$90/12,30,$C$91,$C$89)))</f>
        <v>0</v>
      </c>
      <c r="I104" s="365">
        <f>IF($C$91&lt;31,0,ABS(PPMT($C$90/12,31,$C$91,$C$89)))</f>
        <v>0</v>
      </c>
      <c r="J104" s="365">
        <f>IF($C$91&lt;32,0,ABS(PPMT($C$90/12,32,$C$91,$C$89)))</f>
        <v>0</v>
      </c>
      <c r="K104" s="365">
        <f>IF($C$91&lt;33,0,ABS(PPMT($C$90/12,33,$C$91,$C$89)))</f>
        <v>0</v>
      </c>
      <c r="L104" s="365">
        <f>IF($C$91&lt;34,0,ABS(PPMT($C$90/12,34,$C$91,$C$89)))</f>
        <v>0</v>
      </c>
      <c r="M104" s="365">
        <f>IF($C$91&lt;35,0,ABS(PPMT($C$90/12,35,$C$91,$C$89)))</f>
        <v>0</v>
      </c>
      <c r="N104" s="365">
        <f>IF($C$91&lt;36,0,ABS(PPMT($C$90/12,36,$C$91,$C$89)))</f>
        <v>0</v>
      </c>
      <c r="O104" s="498">
        <f t="shared" si="0"/>
        <v>0</v>
      </c>
      <c r="P104" s="94"/>
      <c r="Q104" s="94"/>
    </row>
    <row r="105" ht="12" customHeight="1">
      <c r="B105" s="462" t="s">
        <v>407</v>
      </c>
      <c r="C105" s="499">
        <f t="shared" si="2"/>
        <v>0</v>
      </c>
      <c r="D105" s="499">
        <f t="shared" si="1"/>
        <v>0</v>
      </c>
      <c r="E105" s="499">
        <f t="shared" si="1"/>
        <v>0</v>
      </c>
      <c r="F105" s="499">
        <f t="shared" si="1"/>
        <v>0</v>
      </c>
      <c r="G105" s="499">
        <f t="shared" si="1"/>
        <v>0</v>
      </c>
      <c r="H105" s="499">
        <f t="shared" si="1"/>
        <v>0</v>
      </c>
      <c r="I105" s="499">
        <f t="shared" si="1"/>
        <v>0</v>
      </c>
      <c r="J105" s="499">
        <f t="shared" si="1"/>
        <v>0</v>
      </c>
      <c r="K105" s="499">
        <f t="shared" si="1"/>
        <v>0</v>
      </c>
      <c r="L105" s="499">
        <f t="shared" si="1"/>
        <v>0</v>
      </c>
      <c r="M105" s="499">
        <f t="shared" si="1"/>
        <v>0</v>
      </c>
      <c r="N105" s="499">
        <f t="shared" si="1"/>
        <v>0</v>
      </c>
      <c r="O105" s="500"/>
      <c r="P105" s="94"/>
      <c r="Q105" s="94"/>
    </row>
    <row r="106" ht="12" customHeight="1">
      <c r="B106" s="89"/>
      <c r="C106" s="89"/>
      <c r="D106" s="94"/>
      <c r="E106" s="94"/>
      <c r="F106" s="94"/>
      <c r="G106" s="94"/>
      <c r="H106" s="94"/>
      <c r="I106" s="94"/>
      <c r="J106" s="94"/>
      <c r="K106" s="94"/>
      <c r="L106" s="94"/>
      <c r="M106" s="94"/>
      <c r="N106" s="94"/>
      <c r="O106" s="94"/>
      <c r="P106" s="94"/>
      <c r="Q106" s="94"/>
    </row>
    <row r="107" ht="12" customHeight="1">
      <c r="B107" s="94"/>
      <c r="C107" s="94"/>
      <c r="D107" s="94"/>
      <c r="E107" s="94"/>
      <c r="F107" s="94"/>
      <c r="G107" s="94"/>
      <c r="H107" s="94"/>
      <c r="I107" s="94"/>
      <c r="J107" s="94"/>
      <c r="K107" s="94"/>
      <c r="L107" s="94"/>
      <c r="M107" s="94"/>
      <c r="N107" s="94"/>
      <c r="O107" s="94"/>
      <c r="P107" s="94"/>
      <c r="Q107" s="94"/>
    </row>
    <row r="108" ht="12.75" customHeight="1">
      <c r="B108" s="96" t="s">
        <v>255</v>
      </c>
      <c r="C108" s="96"/>
      <c r="D108" s="94"/>
      <c r="E108" s="94"/>
      <c r="F108" s="94"/>
      <c r="G108" s="94"/>
      <c r="H108" s="94"/>
      <c r="I108" s="94"/>
      <c r="J108" s="94"/>
      <c r="K108" s="94"/>
      <c r="L108" s="94"/>
      <c r="M108" s="94"/>
      <c r="N108" s="94"/>
      <c r="O108" s="94"/>
      <c r="P108" s="94"/>
      <c r="Q108" s="94"/>
    </row>
    <row r="109" ht="12.75" customHeight="1">
      <c r="B109" s="327" t="str">
        <f>'1-StartingPoint'!B10</f>
        <v>Real Estate-Buildings</v>
      </c>
      <c r="C109" s="146">
        <f>'1-StartingPoint'!D10</f>
        <v>20</v>
      </c>
      <c r="D109" s="94"/>
      <c r="E109" s="94"/>
      <c r="F109" s="94"/>
      <c r="G109" s="94"/>
      <c r="H109" s="94"/>
      <c r="I109" s="94"/>
      <c r="J109" s="94"/>
      <c r="K109" s="94"/>
      <c r="L109" s="94"/>
      <c r="M109" s="94"/>
      <c r="N109" s="94"/>
      <c r="O109" s="94"/>
      <c r="P109" s="94"/>
      <c r="Q109" s="94"/>
    </row>
    <row r="110" ht="12" customHeight="1">
      <c r="B110" s="329" t="str">
        <f>'1-StartingPoint'!B11</f>
        <v>Leasehold Improvements</v>
      </c>
      <c r="C110" s="149">
        <f>'1-StartingPoint'!D11</f>
        <v>7</v>
      </c>
      <c r="D110" s="94"/>
      <c r="E110" s="94"/>
      <c r="F110" s="94"/>
      <c r="G110" s="94"/>
      <c r="H110" s="94"/>
      <c r="I110" s="94"/>
      <c r="J110" s="94"/>
      <c r="K110" s="94"/>
      <c r="L110" s="94"/>
      <c r="M110" s="94"/>
      <c r="N110" s="94"/>
      <c r="O110" s="94"/>
      <c r="P110" s="94"/>
      <c r="Q110" s="94"/>
    </row>
    <row r="111" ht="12" customHeight="1">
      <c r="B111" s="329" t="str">
        <f>'1-StartingPoint'!B12</f>
        <v>Equipment</v>
      </c>
      <c r="C111" s="149">
        <f>'1-StartingPoint'!D12</f>
        <v>7</v>
      </c>
      <c r="D111" s="94"/>
      <c r="E111" s="94"/>
      <c r="F111" s="94"/>
      <c r="G111" s="94"/>
      <c r="H111" s="94"/>
      <c r="I111" s="94"/>
      <c r="J111" s="94"/>
      <c r="K111" s="94"/>
      <c r="L111" s="94"/>
      <c r="M111" s="94"/>
      <c r="N111" s="94"/>
      <c r="O111" s="94"/>
      <c r="P111" s="94"/>
      <c r="Q111" s="94"/>
    </row>
    <row r="112" ht="12" customHeight="1">
      <c r="B112" s="329" t="str">
        <f>'1-StartingPoint'!B13</f>
        <v>Furniture and Fixtures</v>
      </c>
      <c r="C112" s="149">
        <f>'1-StartingPoint'!D13</f>
        <v>5</v>
      </c>
      <c r="D112" s="94"/>
      <c r="E112" s="94"/>
      <c r="F112" s="94"/>
      <c r="G112" s="94"/>
      <c r="H112" s="94"/>
      <c r="I112" s="94"/>
      <c r="J112" s="94"/>
      <c r="K112" s="94"/>
      <c r="L112" s="94"/>
      <c r="M112" s="94"/>
      <c r="N112" s="94"/>
      <c r="O112" s="94"/>
      <c r="P112" s="94"/>
      <c r="Q112" s="94"/>
    </row>
    <row r="113" ht="12" customHeight="1">
      <c r="B113" s="329" t="str">
        <f>'1-StartingPoint'!B14</f>
        <v>Vehicles</v>
      </c>
      <c r="C113" s="149">
        <f>'1-StartingPoint'!D14</f>
        <v>5</v>
      </c>
      <c r="D113" s="94"/>
      <c r="E113" s="94"/>
      <c r="F113" s="94"/>
      <c r="G113" s="94"/>
      <c r="H113" s="94"/>
      <c r="I113" s="94"/>
      <c r="J113" s="94"/>
      <c r="K113" s="94"/>
      <c r="L113" s="94"/>
      <c r="M113" s="94"/>
      <c r="N113" s="94"/>
      <c r="O113" s="94"/>
      <c r="P113" s="94"/>
      <c r="Q113" s="94"/>
    </row>
    <row r="114" ht="12" customHeight="1">
      <c r="B114" s="329" t="str">
        <f>'1-StartingPoint'!B15</f>
        <v>Other</v>
      </c>
      <c r="C114" s="149">
        <f>'1-StartingPoint'!D15</f>
        <v>5</v>
      </c>
      <c r="D114" s="94"/>
      <c r="E114" s="94"/>
      <c r="F114" s="94"/>
      <c r="G114" s="94"/>
      <c r="H114" s="94"/>
      <c r="I114" s="94"/>
      <c r="J114" s="94"/>
      <c r="K114" s="94"/>
      <c r="L114" s="94"/>
      <c r="M114" s="94"/>
      <c r="N114" s="94"/>
      <c r="O114" s="94"/>
      <c r="P114" s="94"/>
      <c r="Q114" s="94"/>
    </row>
    <row r="115" ht="12" customHeight="1">
      <c r="B115" s="114"/>
      <c r="C115" s="497" t="str">
        <f>'3a-SalesForecastYear1'!$C$16</f>
        <v>Month 1</v>
      </c>
      <c r="D115" s="497" t="str">
        <f>'3a-SalesForecastYear1'!$D$16</f>
        <v>Month 2</v>
      </c>
      <c r="E115" s="497" t="str">
        <f>'3a-SalesForecastYear1'!$E$16</f>
        <v>Month 3</v>
      </c>
      <c r="F115" s="497" t="str">
        <f>'3a-SalesForecastYear1'!$F$16</f>
        <v>Month 4</v>
      </c>
      <c r="G115" s="497" t="str">
        <f>'3a-SalesForecastYear1'!$G$16</f>
        <v>Month 5</v>
      </c>
      <c r="H115" s="497" t="str">
        <f>'3a-SalesForecastYear1'!$H$16</f>
        <v>Month 6</v>
      </c>
      <c r="I115" s="497" t="str">
        <f>'3a-SalesForecastYear1'!$I$16</f>
        <v>Month 7</v>
      </c>
      <c r="J115" s="497" t="str">
        <f>'3a-SalesForecastYear1'!$J$16</f>
        <v>Month 8</v>
      </c>
      <c r="K115" s="497" t="str">
        <f>'3a-SalesForecastYear1'!$K$16</f>
        <v>Month 9</v>
      </c>
      <c r="L115" s="497" t="str">
        <f>'3a-SalesForecastYear1'!$L$16</f>
        <v>Month 10</v>
      </c>
      <c r="M115" s="497" t="str">
        <f>'3a-SalesForecastYear1'!$M$16</f>
        <v>Month 11</v>
      </c>
      <c r="N115" s="497" t="str">
        <f>'3a-SalesForecastYear1'!$N$16</f>
        <v>Month 12</v>
      </c>
      <c r="O115" s="497" t="s">
        <v>52</v>
      </c>
      <c r="P115" s="94"/>
      <c r="Q115" s="94"/>
    </row>
    <row r="116" ht="12" customHeight="1">
      <c r="B116" s="114" t="s">
        <v>309</v>
      </c>
      <c r="C116" s="343"/>
      <c r="D116" s="343"/>
      <c r="E116" s="343"/>
      <c r="F116" s="343"/>
      <c r="G116" s="343"/>
      <c r="H116" s="343"/>
      <c r="I116" s="343"/>
      <c r="J116" s="343"/>
      <c r="K116" s="343"/>
      <c r="L116" s="343"/>
      <c r="M116" s="343"/>
      <c r="N116" s="343"/>
      <c r="O116" s="343"/>
      <c r="P116" s="94"/>
      <c r="Q116" s="94"/>
    </row>
    <row r="117" ht="12" customHeight="1">
      <c r="B117" s="462" t="s">
        <v>408</v>
      </c>
      <c r="C117" s="365">
        <f>(Buildings/'1-StartingPoint'!$D$10/12)+(LeaseImprovements/'1-StartingPoint'!$D$11/12)+(Equipment/'1-StartingPoint'!$D$12/12)+(Furniture/'1-StartingPoint'!$D$13/12)+(Vehicles/'1-StartingPoint'!$D$14/12)+(OtherFixedAssets/'1-StartingPoint'!$D$15/12)</f>
        <v>0</v>
      </c>
      <c r="D117" s="365">
        <f t="shared" si="4" ref="D117:N125">C119</f>
        <v>0</v>
      </c>
      <c r="E117" s="365">
        <f t="shared" si="4"/>
        <v>0</v>
      </c>
      <c r="F117" s="365">
        <f t="shared" si="4"/>
        <v>0</v>
      </c>
      <c r="G117" s="365">
        <f t="shared" si="4"/>
        <v>0</v>
      </c>
      <c r="H117" s="365">
        <f t="shared" si="4"/>
        <v>0</v>
      </c>
      <c r="I117" s="365">
        <f t="shared" si="4"/>
        <v>0</v>
      </c>
      <c r="J117" s="365">
        <f t="shared" si="4"/>
        <v>0</v>
      </c>
      <c r="K117" s="365">
        <f t="shared" si="4"/>
        <v>0</v>
      </c>
      <c r="L117" s="365">
        <f t="shared" si="4"/>
        <v>0</v>
      </c>
      <c r="M117" s="365">
        <f t="shared" si="4"/>
        <v>0</v>
      </c>
      <c r="N117" s="365">
        <f t="shared" si="4"/>
        <v>0</v>
      </c>
      <c r="O117" s="498">
        <f t="shared" si="0"/>
        <v>0</v>
      </c>
      <c r="P117" s="94"/>
      <c r="Q117" s="94"/>
    </row>
    <row r="118" ht="12" customHeight="1">
      <c r="B118" s="462" t="s">
        <v>409</v>
      </c>
      <c r="C118" s="365">
        <v>0</v>
      </c>
      <c r="D118" s="365">
        <f>('4-AdditionalInputs'!E29/'4-AdditionalInputs'!$C$29/12)+('4-AdditionalInputs'!E30/'4-AdditionalInputs'!$C$30/12)+('4-AdditionalInputs'!E31/'4-AdditionalInputs'!$C$31/12)+('4-AdditionalInputs'!E32/'4-AdditionalInputs'!$C$32/12)+('4-AdditionalInputs'!E33/'4-AdditionalInputs'!$C$33/12)+('4-AdditionalInputs'!E34/'4-AdditionalInputs'!$C$34/12)</f>
        <v>0</v>
      </c>
      <c r="E118" s="365">
        <f>('4-AdditionalInputs'!F29/'4-AdditionalInputs'!$C$29/12)+('4-AdditionalInputs'!F30/'4-AdditionalInputs'!$C$30/12)+('4-AdditionalInputs'!F31/'4-AdditionalInputs'!$C$31/12)+('4-AdditionalInputs'!F32/'4-AdditionalInputs'!$C$32/12)+('4-AdditionalInputs'!F33/'4-AdditionalInputs'!$C$33/12)+('4-AdditionalInputs'!F34/'4-AdditionalInputs'!$C$34/12)</f>
        <v>0</v>
      </c>
      <c r="F118" s="365">
        <f>('4-AdditionalInputs'!G29/'4-AdditionalInputs'!$C$29/12)+('4-AdditionalInputs'!G30/'4-AdditionalInputs'!$C$30/12)+('4-AdditionalInputs'!G31/'4-AdditionalInputs'!$C$31/12)+('4-AdditionalInputs'!G32/'4-AdditionalInputs'!$C$32/12)+('4-AdditionalInputs'!G33/'4-AdditionalInputs'!$C$33/12)+('4-AdditionalInputs'!G34/'4-AdditionalInputs'!$C$34/12)</f>
        <v>0</v>
      </c>
      <c r="G118" s="365">
        <f>('4-AdditionalInputs'!H29/'4-AdditionalInputs'!$C$29/12)+('4-AdditionalInputs'!H30/'4-AdditionalInputs'!$C$30/12)+('4-AdditionalInputs'!H31/'4-AdditionalInputs'!$C$31/12)+('4-AdditionalInputs'!H32/'4-AdditionalInputs'!$C$32/12)+('4-AdditionalInputs'!H33/'4-AdditionalInputs'!$C$33/12)+('4-AdditionalInputs'!H34/'4-AdditionalInputs'!$C$34/12)</f>
        <v>0</v>
      </c>
      <c r="H118" s="365">
        <f>('4-AdditionalInputs'!I29/'4-AdditionalInputs'!$C$29/12)+('4-AdditionalInputs'!I30/'4-AdditionalInputs'!$C$30/12)+('4-AdditionalInputs'!I31/'4-AdditionalInputs'!$C$31/12)+('4-AdditionalInputs'!I32/'4-AdditionalInputs'!$C$32/12)+('4-AdditionalInputs'!I33/'4-AdditionalInputs'!$C$33/12)+('4-AdditionalInputs'!I34/'4-AdditionalInputs'!$C$34/12)</f>
        <v>0</v>
      </c>
      <c r="I118" s="365">
        <f>('4-AdditionalInputs'!J29/'4-AdditionalInputs'!$C$29/12)+('4-AdditionalInputs'!J30/'4-AdditionalInputs'!$C$30/12)+('4-AdditionalInputs'!J31/'4-AdditionalInputs'!$C$31/12)+('4-AdditionalInputs'!J32/'4-AdditionalInputs'!$C$32/12)+('4-AdditionalInputs'!J33/'4-AdditionalInputs'!$C$33/12)+('4-AdditionalInputs'!J34/'4-AdditionalInputs'!$C$34/12)</f>
        <v>0</v>
      </c>
      <c r="J118" s="365">
        <f>('4-AdditionalInputs'!K29/'4-AdditionalInputs'!$C$29/12)+('4-AdditionalInputs'!K30/'4-AdditionalInputs'!$C$30/12)+('4-AdditionalInputs'!K31/'4-AdditionalInputs'!$C$31/12)+('4-AdditionalInputs'!K32/'4-AdditionalInputs'!$C$32/12)+('4-AdditionalInputs'!K33/'4-AdditionalInputs'!$C$33/12)+('4-AdditionalInputs'!K34/'4-AdditionalInputs'!$C$34/12)</f>
        <v>0</v>
      </c>
      <c r="K118" s="365">
        <f>('4-AdditionalInputs'!L29/'4-AdditionalInputs'!$C$29/12)+('4-AdditionalInputs'!L30/'4-AdditionalInputs'!$C$30/12)+('4-AdditionalInputs'!L31/'4-AdditionalInputs'!$C$31/12)+('4-AdditionalInputs'!L32/'4-AdditionalInputs'!$C$32/12)+('4-AdditionalInputs'!L33/'4-AdditionalInputs'!$C$33/12)+('4-AdditionalInputs'!L34/'4-AdditionalInputs'!$C$34/12)</f>
        <v>0</v>
      </c>
      <c r="L118" s="365">
        <f>('4-AdditionalInputs'!M29/'4-AdditionalInputs'!$C$29/12)+('4-AdditionalInputs'!M30/'4-AdditionalInputs'!$C$30/12)+('4-AdditionalInputs'!M31/'4-AdditionalInputs'!$C$31/12)+('4-AdditionalInputs'!M32/'4-AdditionalInputs'!$C$32/12)+('4-AdditionalInputs'!M33/'4-AdditionalInputs'!$C$33/12)+('4-AdditionalInputs'!M34/'4-AdditionalInputs'!$C$34/12)</f>
        <v>0</v>
      </c>
      <c r="M118" s="365">
        <f>('4-AdditionalInputs'!N29/'4-AdditionalInputs'!$C$29/12)+('4-AdditionalInputs'!N30/'4-AdditionalInputs'!$C$30/12)+('4-AdditionalInputs'!N31/'4-AdditionalInputs'!$C$31/12)+('4-AdditionalInputs'!N32/'4-AdditionalInputs'!$C$32/12)+('4-AdditionalInputs'!N33/'4-AdditionalInputs'!$C$33/12)+('4-AdditionalInputs'!N34/'4-AdditionalInputs'!$C$34/12)</f>
        <v>0</v>
      </c>
      <c r="N118" s="365">
        <f>('4-AdditionalInputs'!O29/'4-AdditionalInputs'!$C$29/12)+('4-AdditionalInputs'!O30/'4-AdditionalInputs'!$C$30/12)+('4-AdditionalInputs'!O31/'4-AdditionalInputs'!$C$31/12)+('4-AdditionalInputs'!O32/'4-AdditionalInputs'!$C$32/12)+('4-AdditionalInputs'!O33/'4-AdditionalInputs'!$C$33/12)+('4-AdditionalInputs'!O34/'4-AdditionalInputs'!$C$34/12)</f>
        <v>0</v>
      </c>
      <c r="O118" s="365"/>
      <c r="P118" s="94"/>
      <c r="Q118" s="94"/>
    </row>
    <row r="119" ht="12" customHeight="1">
      <c r="B119" s="462" t="s">
        <v>410</v>
      </c>
      <c r="C119" s="499">
        <f t="shared" si="5" ref="C119:N127">SUM(C117:C118)</f>
        <v>0</v>
      </c>
      <c r="D119" s="499">
        <f t="shared" si="5"/>
        <v>0</v>
      </c>
      <c r="E119" s="499">
        <f t="shared" si="5"/>
        <v>0</v>
      </c>
      <c r="F119" s="499">
        <f t="shared" si="5"/>
        <v>0</v>
      </c>
      <c r="G119" s="499">
        <f t="shared" si="5"/>
        <v>0</v>
      </c>
      <c r="H119" s="499">
        <f t="shared" si="5"/>
        <v>0</v>
      </c>
      <c r="I119" s="499">
        <f t="shared" si="5"/>
        <v>0</v>
      </c>
      <c r="J119" s="499">
        <f t="shared" si="5"/>
        <v>0</v>
      </c>
      <c r="K119" s="499">
        <f t="shared" si="5"/>
        <v>0</v>
      </c>
      <c r="L119" s="499">
        <f t="shared" si="5"/>
        <v>0</v>
      </c>
      <c r="M119" s="499">
        <f t="shared" si="5"/>
        <v>0</v>
      </c>
      <c r="N119" s="499">
        <f t="shared" si="5"/>
        <v>0</v>
      </c>
      <c r="O119" s="498">
        <f t="shared" si="0"/>
        <v>0</v>
      </c>
      <c r="P119" s="94"/>
      <c r="Q119" s="94"/>
    </row>
    <row r="120" ht="12" customHeight="1">
      <c r="B120" s="114" t="s">
        <v>310</v>
      </c>
      <c r="C120" s="343"/>
      <c r="D120" s="343"/>
      <c r="E120" s="343"/>
      <c r="F120" s="343"/>
      <c r="G120" s="343"/>
      <c r="H120" s="343"/>
      <c r="I120" s="343"/>
      <c r="J120" s="343"/>
      <c r="K120" s="343"/>
      <c r="L120" s="343"/>
      <c r="M120" s="343"/>
      <c r="N120" s="343"/>
      <c r="O120" s="365"/>
      <c r="P120" s="94"/>
      <c r="Q120" s="94"/>
    </row>
    <row r="121" ht="12" customHeight="1">
      <c r="B121" s="462" t="s">
        <v>408</v>
      </c>
      <c r="C121" s="365">
        <f t="shared" si="6" ref="C121:C125">N119</f>
        <v>0</v>
      </c>
      <c r="D121" s="365">
        <f t="shared" si="4"/>
        <v>0</v>
      </c>
      <c r="E121" s="365">
        <f t="shared" si="4"/>
        <v>0</v>
      </c>
      <c r="F121" s="365">
        <f t="shared" si="4"/>
        <v>0</v>
      </c>
      <c r="G121" s="365">
        <f t="shared" si="4"/>
        <v>0</v>
      </c>
      <c r="H121" s="365">
        <f t="shared" si="4"/>
        <v>0</v>
      </c>
      <c r="I121" s="365">
        <f t="shared" si="4"/>
        <v>0</v>
      </c>
      <c r="J121" s="365">
        <f t="shared" si="4"/>
        <v>0</v>
      </c>
      <c r="K121" s="365">
        <f t="shared" si="4"/>
        <v>0</v>
      </c>
      <c r="L121" s="365">
        <f t="shared" si="4"/>
        <v>0</v>
      </c>
      <c r="M121" s="365">
        <f t="shared" si="4"/>
        <v>0</v>
      </c>
      <c r="N121" s="365">
        <f t="shared" si="4"/>
        <v>0</v>
      </c>
      <c r="O121" s="498">
        <f t="shared" si="0"/>
        <v>0</v>
      </c>
      <c r="P121" s="94"/>
      <c r="Q121" s="94"/>
    </row>
    <row r="122" ht="12" customHeight="1">
      <c r="B122" s="462" t="s">
        <v>409</v>
      </c>
      <c r="C122" s="365">
        <f>('4-AdditionalInputs'!$Q$29/'4-AdditionalInputs'!$C$29/12)+('4-AdditionalInputs'!$Q$30/'4-AdditionalInputs'!$C$30/12)+('4-AdditionalInputs'!$Q$31/'4-AdditionalInputs'!$C$31/12)+('4-AdditionalInputs'!$Q$32/'4-AdditionalInputs'!$C$32/12)+('4-AdditionalInputs'!$Q$33/'4-AdditionalInputs'!$C$33/12)+('4-AdditionalInputs'!$Q$34/'4-AdditionalInputs'!$C$34/12)</f>
        <v>0</v>
      </c>
      <c r="D122" s="365">
        <f>('4-AdditionalInputs'!$Q$29/'4-AdditionalInputs'!$C$29/12)+('4-AdditionalInputs'!$Q$30/'4-AdditionalInputs'!$C$30/12)+('4-AdditionalInputs'!$Q$31/'4-AdditionalInputs'!$C$31/12)+('4-AdditionalInputs'!$Q$32/'4-AdditionalInputs'!$C$32/12)+('4-AdditionalInputs'!$Q$33/'4-AdditionalInputs'!$C$33/12)+('4-AdditionalInputs'!$Q$34/'4-AdditionalInputs'!$C$34/12)</f>
        <v>0</v>
      </c>
      <c r="E122" s="365">
        <f>('4-AdditionalInputs'!$Q$29/'4-AdditionalInputs'!$C$29/12)+('4-AdditionalInputs'!$Q$30/'4-AdditionalInputs'!$C$30/12)+('4-AdditionalInputs'!$Q$31/'4-AdditionalInputs'!$C$31/12)+('4-AdditionalInputs'!$Q$32/'4-AdditionalInputs'!$C$32/12)+('4-AdditionalInputs'!$Q$33/'4-AdditionalInputs'!$C$33/12)+('4-AdditionalInputs'!$Q$34/'4-AdditionalInputs'!$C$34/12)</f>
        <v>0</v>
      </c>
      <c r="F122" s="365">
        <f>('4-AdditionalInputs'!$Q$29/'4-AdditionalInputs'!$C$29/12)+('4-AdditionalInputs'!$Q$30/'4-AdditionalInputs'!$C$30/12)+('4-AdditionalInputs'!$Q$31/'4-AdditionalInputs'!$C$31/12)+('4-AdditionalInputs'!$Q$32/'4-AdditionalInputs'!$C$32/12)+('4-AdditionalInputs'!$Q$33/'4-AdditionalInputs'!$C$33/12)+('4-AdditionalInputs'!$Q$34/'4-AdditionalInputs'!$C$34/12)</f>
        <v>0</v>
      </c>
      <c r="G122" s="365">
        <f>('4-AdditionalInputs'!$Q$29/'4-AdditionalInputs'!$C$29/12)+('4-AdditionalInputs'!$Q$30/'4-AdditionalInputs'!$C$30/12)+('4-AdditionalInputs'!$Q$31/'4-AdditionalInputs'!$C$31/12)+('4-AdditionalInputs'!$Q$32/'4-AdditionalInputs'!$C$32/12)+('4-AdditionalInputs'!$Q$33/'4-AdditionalInputs'!$C$33/12)+('4-AdditionalInputs'!$Q$34/'4-AdditionalInputs'!$C$34/12)</f>
        <v>0</v>
      </c>
      <c r="H122" s="365">
        <f>('4-AdditionalInputs'!$Q$29/'4-AdditionalInputs'!$C$29/12)+('4-AdditionalInputs'!$Q$30/'4-AdditionalInputs'!$C$30/12)+('4-AdditionalInputs'!$Q$31/'4-AdditionalInputs'!$C$31/12)+('4-AdditionalInputs'!$Q$32/'4-AdditionalInputs'!$C$32/12)+('4-AdditionalInputs'!$Q$33/'4-AdditionalInputs'!$C$33/12)+('4-AdditionalInputs'!$Q$34/'4-AdditionalInputs'!$C$34/12)</f>
        <v>0</v>
      </c>
      <c r="I122" s="365">
        <f>('4-AdditionalInputs'!$Q$29/'4-AdditionalInputs'!$C$29/12)+('4-AdditionalInputs'!$Q$30/'4-AdditionalInputs'!$C$30/12)+('4-AdditionalInputs'!$Q$31/'4-AdditionalInputs'!$C$31/12)+('4-AdditionalInputs'!$Q$32/'4-AdditionalInputs'!$C$32/12)+('4-AdditionalInputs'!$Q$33/'4-AdditionalInputs'!$C$33/12)+('4-AdditionalInputs'!$Q$34/'4-AdditionalInputs'!$C$34/12)</f>
        <v>0</v>
      </c>
      <c r="J122" s="365">
        <f>('4-AdditionalInputs'!$Q$29/'4-AdditionalInputs'!$C$29/12)+('4-AdditionalInputs'!$Q$30/'4-AdditionalInputs'!$C$30/12)+('4-AdditionalInputs'!$Q$31/'4-AdditionalInputs'!$C$31/12)+('4-AdditionalInputs'!$Q$32/'4-AdditionalInputs'!$C$32/12)+('4-AdditionalInputs'!$Q$33/'4-AdditionalInputs'!$C$33/12)+('4-AdditionalInputs'!$Q$34/'4-AdditionalInputs'!$C$34/12)</f>
        <v>0</v>
      </c>
      <c r="K122" s="365">
        <f>('4-AdditionalInputs'!$Q$29/'4-AdditionalInputs'!$C$29/12)+('4-AdditionalInputs'!$Q$30/'4-AdditionalInputs'!$C$30/12)+('4-AdditionalInputs'!$Q$31/'4-AdditionalInputs'!$C$31/12)+('4-AdditionalInputs'!$Q$32/'4-AdditionalInputs'!$C$32/12)+('4-AdditionalInputs'!$Q$33/'4-AdditionalInputs'!$C$33/12)+('4-AdditionalInputs'!$Q$34/'4-AdditionalInputs'!$C$34/12)</f>
        <v>0</v>
      </c>
      <c r="L122" s="365">
        <f>('4-AdditionalInputs'!$Q$29/'4-AdditionalInputs'!$C$29/12)+('4-AdditionalInputs'!$Q$30/'4-AdditionalInputs'!$C$30/12)+('4-AdditionalInputs'!$Q$31/'4-AdditionalInputs'!$C$31/12)+('4-AdditionalInputs'!$Q$32/'4-AdditionalInputs'!$C$32/12)+('4-AdditionalInputs'!$Q$33/'4-AdditionalInputs'!$C$33/12)+('4-AdditionalInputs'!$Q$34/'4-AdditionalInputs'!$C$34/12)</f>
        <v>0</v>
      </c>
      <c r="M122" s="365">
        <f>('4-AdditionalInputs'!$Q$29/'4-AdditionalInputs'!$C$29/12)+('4-AdditionalInputs'!$Q$30/'4-AdditionalInputs'!$C$30/12)+('4-AdditionalInputs'!$Q$31/'4-AdditionalInputs'!$C$31/12)+('4-AdditionalInputs'!$Q$32/'4-AdditionalInputs'!$C$32/12)+('4-AdditionalInputs'!$Q$33/'4-AdditionalInputs'!$C$33/12)+('4-AdditionalInputs'!$Q$34/'4-AdditionalInputs'!$C$34/12)</f>
        <v>0</v>
      </c>
      <c r="N122" s="365">
        <f>('4-AdditionalInputs'!$Q$29/'4-AdditionalInputs'!$C$29/12)+('4-AdditionalInputs'!$Q$30/'4-AdditionalInputs'!$C$30/12)+('4-AdditionalInputs'!$Q$31/'4-AdditionalInputs'!$C$31/12)+('4-AdditionalInputs'!$Q$32/'4-AdditionalInputs'!$C$32/12)+('4-AdditionalInputs'!$Q$33/'4-AdditionalInputs'!$C$33/12)+('4-AdditionalInputs'!$Q$34/'4-AdditionalInputs'!$C$34/12)</f>
        <v>0</v>
      </c>
      <c r="O122" s="365"/>
      <c r="P122" s="94"/>
      <c r="Q122" s="94"/>
    </row>
    <row r="123" ht="12" customHeight="1">
      <c r="B123" s="462" t="s">
        <v>410</v>
      </c>
      <c r="C123" s="499">
        <f t="shared" si="5"/>
        <v>0</v>
      </c>
      <c r="D123" s="499">
        <f t="shared" si="5"/>
        <v>0</v>
      </c>
      <c r="E123" s="499">
        <f t="shared" si="5"/>
        <v>0</v>
      </c>
      <c r="F123" s="499">
        <f t="shared" si="5"/>
        <v>0</v>
      </c>
      <c r="G123" s="499">
        <f t="shared" si="5"/>
        <v>0</v>
      </c>
      <c r="H123" s="499">
        <f t="shared" si="5"/>
        <v>0</v>
      </c>
      <c r="I123" s="499">
        <f t="shared" si="5"/>
        <v>0</v>
      </c>
      <c r="J123" s="499">
        <f t="shared" si="5"/>
        <v>0</v>
      </c>
      <c r="K123" s="499">
        <f t="shared" si="5"/>
        <v>0</v>
      </c>
      <c r="L123" s="499">
        <f t="shared" si="5"/>
        <v>0</v>
      </c>
      <c r="M123" s="499">
        <f t="shared" si="5"/>
        <v>0</v>
      </c>
      <c r="N123" s="499">
        <f t="shared" si="5"/>
        <v>0</v>
      </c>
      <c r="O123" s="498">
        <f t="shared" si="0"/>
        <v>0</v>
      </c>
      <c r="P123" s="94"/>
      <c r="Q123" s="94"/>
    </row>
    <row r="124" ht="12" customHeight="1">
      <c r="B124" s="114" t="s">
        <v>311</v>
      </c>
      <c r="C124" s="343"/>
      <c r="D124" s="343"/>
      <c r="E124" s="343"/>
      <c r="F124" s="343"/>
      <c r="G124" s="343"/>
      <c r="H124" s="343"/>
      <c r="I124" s="343"/>
      <c r="J124" s="343"/>
      <c r="K124" s="343"/>
      <c r="L124" s="343"/>
      <c r="M124" s="343"/>
      <c r="N124" s="343"/>
      <c r="O124" s="365"/>
      <c r="P124" s="94"/>
      <c r="Q124" s="94"/>
    </row>
    <row r="125" ht="12" customHeight="1">
      <c r="B125" s="462" t="s">
        <v>408</v>
      </c>
      <c r="C125" s="365">
        <f t="shared" si="6"/>
        <v>0</v>
      </c>
      <c r="D125" s="365">
        <f t="shared" si="4"/>
        <v>0</v>
      </c>
      <c r="E125" s="365">
        <f t="shared" si="4"/>
        <v>0</v>
      </c>
      <c r="F125" s="365">
        <f t="shared" si="4"/>
        <v>0</v>
      </c>
      <c r="G125" s="365">
        <f t="shared" si="4"/>
        <v>0</v>
      </c>
      <c r="H125" s="365">
        <f t="shared" si="4"/>
        <v>0</v>
      </c>
      <c r="I125" s="365">
        <f t="shared" si="4"/>
        <v>0</v>
      </c>
      <c r="J125" s="365">
        <f t="shared" si="4"/>
        <v>0</v>
      </c>
      <c r="K125" s="365">
        <f t="shared" si="4"/>
        <v>0</v>
      </c>
      <c r="L125" s="365">
        <f t="shared" si="4"/>
        <v>0</v>
      </c>
      <c r="M125" s="365">
        <f t="shared" si="4"/>
        <v>0</v>
      </c>
      <c r="N125" s="365">
        <f t="shared" si="4"/>
        <v>0</v>
      </c>
      <c r="O125" s="498">
        <f t="shared" si="0"/>
        <v>0</v>
      </c>
      <c r="P125" s="94"/>
      <c r="Q125" s="94"/>
    </row>
    <row r="126" ht="12" customHeight="1">
      <c r="B126" s="462" t="s">
        <v>409</v>
      </c>
      <c r="C126" s="365">
        <f>('4-AdditionalInputs'!$R$29/'4-AdditionalInputs'!$C$29/12)+('4-AdditionalInputs'!$R$30/'4-AdditionalInputs'!$C$30/12)+('4-AdditionalInputs'!$R$31/'4-AdditionalInputs'!$C$31/12)+('4-AdditionalInputs'!$R$32/'4-AdditionalInputs'!$C$32/12)+('4-AdditionalInputs'!$R$33/'4-AdditionalInputs'!$C$33/12)+('4-AdditionalInputs'!$R$34/'4-AdditionalInputs'!$C$34/12)</f>
        <v>0</v>
      </c>
      <c r="D126" s="365">
        <f>('4-AdditionalInputs'!$R$29/'4-AdditionalInputs'!$C$29/12)+('4-AdditionalInputs'!$R$30/'4-AdditionalInputs'!$C$30/12)+('4-AdditionalInputs'!$R$31/'4-AdditionalInputs'!$C$31/12)+('4-AdditionalInputs'!$R$32/'4-AdditionalInputs'!$C$32/12)+('4-AdditionalInputs'!$R$33/'4-AdditionalInputs'!$C$33/12)+('4-AdditionalInputs'!$R$34/'4-AdditionalInputs'!$C$34/12)</f>
        <v>0</v>
      </c>
      <c r="E126" s="365">
        <f>('4-AdditionalInputs'!$R$29/'4-AdditionalInputs'!$C$29/12)+('4-AdditionalInputs'!$R$30/'4-AdditionalInputs'!$C$30/12)+('4-AdditionalInputs'!$R$31/'4-AdditionalInputs'!$C$31/12)+('4-AdditionalInputs'!$R$32/'4-AdditionalInputs'!$C$32/12)+('4-AdditionalInputs'!$R$33/'4-AdditionalInputs'!$C$33/12)+('4-AdditionalInputs'!$R$34/'4-AdditionalInputs'!$C$34/12)</f>
        <v>0</v>
      </c>
      <c r="F126" s="365">
        <f>('4-AdditionalInputs'!$R$29/'4-AdditionalInputs'!$C$29/12)+('4-AdditionalInputs'!$R$30/'4-AdditionalInputs'!$C$30/12)+('4-AdditionalInputs'!$R$31/'4-AdditionalInputs'!$C$31/12)+('4-AdditionalInputs'!$R$32/'4-AdditionalInputs'!$C$32/12)+('4-AdditionalInputs'!$R$33/'4-AdditionalInputs'!$C$33/12)+('4-AdditionalInputs'!$R$34/'4-AdditionalInputs'!$C$34/12)</f>
        <v>0</v>
      </c>
      <c r="G126" s="365">
        <f>('4-AdditionalInputs'!$R$29/'4-AdditionalInputs'!$C$29/12)+('4-AdditionalInputs'!$R$30/'4-AdditionalInputs'!$C$30/12)+('4-AdditionalInputs'!$R$31/'4-AdditionalInputs'!$C$31/12)+('4-AdditionalInputs'!$R$32/'4-AdditionalInputs'!$C$32/12)+('4-AdditionalInputs'!$R$33/'4-AdditionalInputs'!$C$33/12)+('4-AdditionalInputs'!$R$34/'4-AdditionalInputs'!$C$34/12)</f>
        <v>0</v>
      </c>
      <c r="H126" s="365">
        <f>('4-AdditionalInputs'!$R$29/'4-AdditionalInputs'!$C$29/12)+('4-AdditionalInputs'!$R$30/'4-AdditionalInputs'!$C$30/12)+('4-AdditionalInputs'!$R$31/'4-AdditionalInputs'!$C$31/12)+('4-AdditionalInputs'!$R$32/'4-AdditionalInputs'!$C$32/12)+('4-AdditionalInputs'!$R$33/'4-AdditionalInputs'!$C$33/12)+('4-AdditionalInputs'!$R$34/'4-AdditionalInputs'!$C$34/12)</f>
        <v>0</v>
      </c>
      <c r="I126" s="365">
        <f>('4-AdditionalInputs'!$R$29/'4-AdditionalInputs'!$C$29/12)+('4-AdditionalInputs'!$R$30/'4-AdditionalInputs'!$C$30/12)+('4-AdditionalInputs'!$R$31/'4-AdditionalInputs'!$C$31/12)+('4-AdditionalInputs'!$R$32/'4-AdditionalInputs'!$C$32/12)+('4-AdditionalInputs'!$R$33/'4-AdditionalInputs'!$C$33/12)+('4-AdditionalInputs'!$R$34/'4-AdditionalInputs'!$C$34/12)</f>
        <v>0</v>
      </c>
      <c r="J126" s="365">
        <f>('4-AdditionalInputs'!$R$29/'4-AdditionalInputs'!$C$29/12)+('4-AdditionalInputs'!$R$30/'4-AdditionalInputs'!$C$30/12)+('4-AdditionalInputs'!$R$31/'4-AdditionalInputs'!$C$31/12)+('4-AdditionalInputs'!$R$32/'4-AdditionalInputs'!$C$32/12)+('4-AdditionalInputs'!$R$33/'4-AdditionalInputs'!$C$33/12)+('4-AdditionalInputs'!$R$34/'4-AdditionalInputs'!$C$34/12)</f>
        <v>0</v>
      </c>
      <c r="K126" s="365">
        <f>('4-AdditionalInputs'!$R$29/'4-AdditionalInputs'!$C$29/12)+('4-AdditionalInputs'!$R$30/'4-AdditionalInputs'!$C$30/12)+('4-AdditionalInputs'!$R$31/'4-AdditionalInputs'!$C$31/12)+('4-AdditionalInputs'!$R$32/'4-AdditionalInputs'!$C$32/12)+('4-AdditionalInputs'!$R$33/'4-AdditionalInputs'!$C$33/12)+('4-AdditionalInputs'!$R$34/'4-AdditionalInputs'!$C$34/12)</f>
        <v>0</v>
      </c>
      <c r="L126" s="365">
        <f>('4-AdditionalInputs'!$R$29/'4-AdditionalInputs'!$C$29/12)+('4-AdditionalInputs'!$R$30/'4-AdditionalInputs'!$C$30/12)+('4-AdditionalInputs'!$R$31/'4-AdditionalInputs'!$C$31/12)+('4-AdditionalInputs'!$R$32/'4-AdditionalInputs'!$C$32/12)+('4-AdditionalInputs'!$R$33/'4-AdditionalInputs'!$C$33/12)+('4-AdditionalInputs'!$R$34/'4-AdditionalInputs'!$C$34/12)</f>
        <v>0</v>
      </c>
      <c r="M126" s="365">
        <f>('4-AdditionalInputs'!$R$29/'4-AdditionalInputs'!$C$29/12)+('4-AdditionalInputs'!$R$30/'4-AdditionalInputs'!$C$30/12)+('4-AdditionalInputs'!$R$31/'4-AdditionalInputs'!$C$31/12)+('4-AdditionalInputs'!$R$32/'4-AdditionalInputs'!$C$32/12)+('4-AdditionalInputs'!$R$33/'4-AdditionalInputs'!$C$33/12)+('4-AdditionalInputs'!$R$34/'4-AdditionalInputs'!$C$34/12)</f>
        <v>0</v>
      </c>
      <c r="N126" s="365">
        <f>('4-AdditionalInputs'!$R$29/'4-AdditionalInputs'!$C$29/12)+('4-AdditionalInputs'!$R$30/'4-AdditionalInputs'!$C$30/12)+('4-AdditionalInputs'!$R$31/'4-AdditionalInputs'!$C$31/12)+('4-AdditionalInputs'!$R$32/'4-AdditionalInputs'!$C$32/12)+('4-AdditionalInputs'!$R$33/'4-AdditionalInputs'!$C$33/12)+('4-AdditionalInputs'!$R$34/'4-AdditionalInputs'!$C$34/12)</f>
        <v>0</v>
      </c>
      <c r="O126" s="365"/>
      <c r="P126" s="94"/>
      <c r="Q126" s="94"/>
    </row>
    <row r="127" ht="12" customHeight="1">
      <c r="B127" s="462" t="s">
        <v>411</v>
      </c>
      <c r="C127" s="499">
        <f t="shared" si="5"/>
        <v>0</v>
      </c>
      <c r="D127" s="499">
        <f t="shared" si="5"/>
        <v>0</v>
      </c>
      <c r="E127" s="499">
        <f t="shared" si="5"/>
        <v>0</v>
      </c>
      <c r="F127" s="499">
        <f t="shared" si="5"/>
        <v>0</v>
      </c>
      <c r="G127" s="499">
        <f t="shared" si="5"/>
        <v>0</v>
      </c>
      <c r="H127" s="499">
        <f t="shared" si="5"/>
        <v>0</v>
      </c>
      <c r="I127" s="499">
        <f t="shared" si="5"/>
        <v>0</v>
      </c>
      <c r="J127" s="499">
        <f t="shared" si="5"/>
        <v>0</v>
      </c>
      <c r="K127" s="499">
        <f t="shared" si="5"/>
        <v>0</v>
      </c>
      <c r="L127" s="499">
        <f t="shared" si="5"/>
        <v>0</v>
      </c>
      <c r="M127" s="499">
        <f t="shared" si="5"/>
        <v>0</v>
      </c>
      <c r="N127" s="499">
        <f t="shared" si="5"/>
        <v>0</v>
      </c>
      <c r="O127" s="498">
        <f t="shared" si="0"/>
        <v>0</v>
      </c>
      <c r="P127" s="94"/>
      <c r="Q127" s="94"/>
    </row>
    <row r="128" ht="12" customHeight="1">
      <c r="B128" s="94"/>
      <c r="C128" s="94"/>
      <c r="D128" s="94"/>
      <c r="E128" s="94"/>
      <c r="F128" s="94"/>
      <c r="G128" s="94"/>
      <c r="H128" s="94"/>
      <c r="I128" s="94"/>
      <c r="J128" s="94"/>
      <c r="K128" s="94"/>
      <c r="L128" s="94"/>
      <c r="M128" s="94"/>
      <c r="N128" s="94"/>
      <c r="O128" s="94"/>
      <c r="P128" s="94"/>
      <c r="Q128" s="94"/>
    </row>
    <row r="129" ht="12" customHeight="1">
      <c r="B129" s="94"/>
      <c r="C129" s="94"/>
      <c r="D129" s="94"/>
      <c r="E129" s="94"/>
      <c r="F129" s="94"/>
      <c r="G129" s="94"/>
      <c r="H129" s="94"/>
      <c r="I129" s="94"/>
      <c r="J129" s="94"/>
      <c r="K129" s="94"/>
      <c r="L129" s="94"/>
      <c r="M129" s="94"/>
      <c r="N129" s="94"/>
      <c r="O129" s="94"/>
      <c r="P129" s="94"/>
      <c r="Q129" s="94"/>
    </row>
    <row r="130" ht="12" customHeight="1">
      <c r="B130" s="94"/>
      <c r="C130" s="94"/>
      <c r="D130" s="94"/>
      <c r="E130" s="94"/>
      <c r="F130" s="94"/>
      <c r="G130" s="94"/>
      <c r="H130" s="94"/>
      <c r="I130" s="94"/>
      <c r="J130" s="94"/>
      <c r="K130" s="94"/>
      <c r="L130" s="94"/>
      <c r="M130" s="94"/>
      <c r="N130" s="94"/>
      <c r="O130" s="94"/>
      <c r="P130" s="94"/>
      <c r="Q130" s="94"/>
    </row>
    <row r="131" ht="14.25" customHeight="1">
      <c r="B131" s="96" t="s">
        <v>174</v>
      </c>
      <c r="C131" s="96"/>
      <c r="D131" s="96" t="s">
        <v>412</v>
      </c>
      <c r="E131" s="94"/>
      <c r="F131" s="94"/>
      <c r="G131" s="94"/>
      <c r="H131" s="94"/>
      <c r="I131" s="94"/>
      <c r="J131" s="94"/>
      <c r="K131" s="94"/>
      <c r="L131" s="94"/>
      <c r="M131" s="94"/>
      <c r="N131" s="94"/>
      <c r="O131" s="94"/>
      <c r="P131" s="94"/>
      <c r="Q131" s="94"/>
    </row>
    <row r="132" ht="12.75" customHeight="1">
      <c r="B132" s="98" t="s">
        <v>273</v>
      </c>
      <c r="C132" s="102">
        <f>TotalOperatingCapital-Working_Capital-Inventory-OtherStartUp</f>
        <v>0</v>
      </c>
      <c r="D132" s="98"/>
      <c r="E132" s="94"/>
      <c r="F132" s="94"/>
      <c r="G132" s="94"/>
      <c r="H132" s="94"/>
      <c r="I132" s="94"/>
      <c r="J132" s="94"/>
      <c r="K132" s="94"/>
      <c r="L132" s="94"/>
      <c r="M132" s="94"/>
      <c r="N132" s="94"/>
      <c r="O132" s="94"/>
      <c r="P132" s="94"/>
      <c r="Q132" s="94"/>
    </row>
    <row r="133" ht="12" customHeight="1">
      <c r="B133" s="105" t="s">
        <v>413</v>
      </c>
      <c r="C133" s="109">
        <f>IF('4-AdditionalInputs'!C44=0,0,'Amortization&amp;Depreciation'!C132/'4-AdditionalInputs'!C44)</f>
        <v>0</v>
      </c>
      <c r="D133" s="505">
        <f t="shared" si="7" ref="D133:D135">+C133/12</f>
        <v>0</v>
      </c>
      <c r="E133" s="94"/>
      <c r="F133" s="94"/>
      <c r="G133" s="94"/>
      <c r="H133" s="94"/>
      <c r="I133" s="94"/>
      <c r="J133" s="94"/>
      <c r="K133" s="94"/>
      <c r="L133" s="94"/>
      <c r="M133" s="94"/>
      <c r="N133" s="94"/>
      <c r="O133" s="94"/>
      <c r="P133" s="94"/>
      <c r="Q133" s="94"/>
    </row>
    <row r="134" ht="12" customHeight="1">
      <c r="B134" s="105" t="s">
        <v>274</v>
      </c>
      <c r="C134" s="109">
        <f>+OtherStartUp</f>
        <v>0</v>
      </c>
      <c r="D134" s="105"/>
      <c r="E134" s="94"/>
      <c r="F134" s="94"/>
      <c r="G134" s="94"/>
      <c r="H134" s="94"/>
      <c r="I134" s="94"/>
      <c r="J134" s="94"/>
      <c r="K134" s="94"/>
      <c r="L134" s="94"/>
      <c r="M134" s="94"/>
      <c r="N134" s="94"/>
      <c r="O134" s="94"/>
      <c r="P134" s="94"/>
      <c r="Q134" s="94"/>
    </row>
    <row r="135" ht="12" customHeight="1">
      <c r="B135" s="105" t="s">
        <v>413</v>
      </c>
      <c r="C135" s="109">
        <f>IF('4-AdditionalInputs'!C44=0,0,C134/'4-AdditionalInputs'!C44)</f>
        <v>0</v>
      </c>
      <c r="D135" s="505">
        <f t="shared" si="7"/>
        <v>0</v>
      </c>
      <c r="E135" s="94"/>
      <c r="F135" s="94"/>
      <c r="G135" s="94"/>
      <c r="H135" s="94"/>
      <c r="I135" s="94"/>
      <c r="J135" s="94"/>
      <c r="K135" s="94"/>
      <c r="L135" s="94"/>
      <c r="M135" s="94"/>
      <c r="N135" s="94"/>
      <c r="O135" s="94"/>
      <c r="P135" s="94"/>
      <c r="Q135" s="94"/>
    </row>
    <row r="136" ht="12" customHeight="1">
      <c r="B136" s="114" t="s">
        <v>273</v>
      </c>
      <c r="C136" s="497" t="str">
        <f>'3a-SalesForecastYear1'!$C$16</f>
        <v>Month 1</v>
      </c>
      <c r="D136" s="497" t="str">
        <f>'3a-SalesForecastYear1'!$D$16</f>
        <v>Month 2</v>
      </c>
      <c r="E136" s="497" t="str">
        <f>'3a-SalesForecastYear1'!$E$16</f>
        <v>Month 3</v>
      </c>
      <c r="F136" s="497" t="str">
        <f>'3a-SalesForecastYear1'!$F$16</f>
        <v>Month 4</v>
      </c>
      <c r="G136" s="497" t="str">
        <f>'3a-SalesForecastYear1'!$G$16</f>
        <v>Month 5</v>
      </c>
      <c r="H136" s="497" t="str">
        <f>'3a-SalesForecastYear1'!$H$16</f>
        <v>Month 6</v>
      </c>
      <c r="I136" s="497" t="str">
        <f>'3a-SalesForecastYear1'!$I$16</f>
        <v>Month 7</v>
      </c>
      <c r="J136" s="497" t="str">
        <f>'3a-SalesForecastYear1'!$J$16</f>
        <v>Month 8</v>
      </c>
      <c r="K136" s="497" t="str">
        <f>'3a-SalesForecastYear1'!$K$16</f>
        <v>Month 9</v>
      </c>
      <c r="L136" s="497" t="str">
        <f>'3a-SalesForecastYear1'!$L$16</f>
        <v>Month 10</v>
      </c>
      <c r="M136" s="497" t="str">
        <f>'3a-SalesForecastYear1'!$M$16</f>
        <v>Month 11</v>
      </c>
      <c r="N136" s="497" t="str">
        <f>'3a-SalesForecastYear1'!$N$16</f>
        <v>Month 12</v>
      </c>
      <c r="O136" s="497" t="s">
        <v>52</v>
      </c>
      <c r="P136" s="94"/>
      <c r="Q136" s="94"/>
    </row>
    <row r="137" ht="12" customHeight="1">
      <c r="B137" s="114" t="s">
        <v>309</v>
      </c>
      <c r="C137" s="343"/>
      <c r="D137" s="343"/>
      <c r="E137" s="343"/>
      <c r="F137" s="343"/>
      <c r="G137" s="343"/>
      <c r="H137" s="343"/>
      <c r="I137" s="343"/>
      <c r="J137" s="343"/>
      <c r="K137" s="343"/>
      <c r="L137" s="343"/>
      <c r="M137" s="343"/>
      <c r="N137" s="343"/>
      <c r="O137" s="343"/>
      <c r="P137" s="94"/>
      <c r="Q137" s="94"/>
    </row>
    <row r="138" ht="12" customHeight="1">
      <c r="B138" s="462" t="s">
        <v>414</v>
      </c>
      <c r="C138" s="365">
        <f>+D133</f>
        <v>0</v>
      </c>
      <c r="D138" s="365">
        <f t="shared" si="8" ref="D138:N144">IF(C139&lt;$C$132,$D$133,0)</f>
        <v>0</v>
      </c>
      <c r="E138" s="365">
        <f t="shared" si="8"/>
        <v>0</v>
      </c>
      <c r="F138" s="365">
        <f t="shared" si="8"/>
        <v>0</v>
      </c>
      <c r="G138" s="365">
        <f t="shared" si="8"/>
        <v>0</v>
      </c>
      <c r="H138" s="365">
        <f t="shared" si="8"/>
        <v>0</v>
      </c>
      <c r="I138" s="365">
        <f t="shared" si="8"/>
        <v>0</v>
      </c>
      <c r="J138" s="365">
        <f t="shared" si="8"/>
        <v>0</v>
      </c>
      <c r="K138" s="365">
        <f t="shared" si="8"/>
        <v>0</v>
      </c>
      <c r="L138" s="365">
        <f t="shared" si="8"/>
        <v>0</v>
      </c>
      <c r="M138" s="365">
        <f t="shared" si="8"/>
        <v>0</v>
      </c>
      <c r="N138" s="365">
        <f t="shared" si="8"/>
        <v>0</v>
      </c>
      <c r="O138" s="498">
        <f t="shared" si="0"/>
        <v>0</v>
      </c>
      <c r="P138" s="94"/>
      <c r="Q138" s="94"/>
    </row>
    <row r="139" ht="12" customHeight="1">
      <c r="B139" s="462" t="s">
        <v>415</v>
      </c>
      <c r="C139" s="499">
        <f t="shared" si="13" ref="C139:C150">+C138</f>
        <v>0</v>
      </c>
      <c r="D139" s="499">
        <f t="shared" si="9" ref="D139:N156">+D138+C139</f>
        <v>0</v>
      </c>
      <c r="E139" s="499">
        <f t="shared" si="9"/>
        <v>0</v>
      </c>
      <c r="F139" s="499">
        <f t="shared" si="9"/>
        <v>0</v>
      </c>
      <c r="G139" s="499">
        <f t="shared" si="9"/>
        <v>0</v>
      </c>
      <c r="H139" s="499">
        <f t="shared" si="9"/>
        <v>0</v>
      </c>
      <c r="I139" s="499">
        <f t="shared" si="9"/>
        <v>0</v>
      </c>
      <c r="J139" s="499">
        <f t="shared" si="9"/>
        <v>0</v>
      </c>
      <c r="K139" s="499">
        <f t="shared" si="9"/>
        <v>0</v>
      </c>
      <c r="L139" s="499">
        <f t="shared" si="9"/>
        <v>0</v>
      </c>
      <c r="M139" s="499">
        <f t="shared" si="9"/>
        <v>0</v>
      </c>
      <c r="N139" s="499">
        <f t="shared" si="9"/>
        <v>0</v>
      </c>
      <c r="O139" s="365"/>
      <c r="P139" s="94"/>
      <c r="Q139" s="94"/>
    </row>
    <row r="140" ht="12" customHeight="1">
      <c r="B140" s="114" t="s">
        <v>310</v>
      </c>
      <c r="C140" s="343"/>
      <c r="D140" s="343"/>
      <c r="E140" s="343"/>
      <c r="F140" s="343"/>
      <c r="G140" s="343"/>
      <c r="H140" s="343"/>
      <c r="I140" s="343"/>
      <c r="J140" s="343"/>
      <c r="K140" s="343"/>
      <c r="L140" s="343"/>
      <c r="M140" s="343"/>
      <c r="N140" s="343"/>
      <c r="O140" s="365"/>
      <c r="P140" s="94"/>
      <c r="Q140" s="94"/>
    </row>
    <row r="141" ht="12" customHeight="1">
      <c r="B141" s="462" t="s">
        <v>414</v>
      </c>
      <c r="C141" s="365">
        <f t="shared" si="10" ref="C141:C144">IF(N139&lt;$C$132,$D$133,0)</f>
        <v>0</v>
      </c>
      <c r="D141" s="365">
        <f t="shared" si="8"/>
        <v>0</v>
      </c>
      <c r="E141" s="365">
        <f t="shared" si="8"/>
        <v>0</v>
      </c>
      <c r="F141" s="365">
        <f t="shared" si="8"/>
        <v>0</v>
      </c>
      <c r="G141" s="365">
        <f t="shared" si="8"/>
        <v>0</v>
      </c>
      <c r="H141" s="365">
        <f t="shared" si="8"/>
        <v>0</v>
      </c>
      <c r="I141" s="365">
        <f t="shared" si="8"/>
        <v>0</v>
      </c>
      <c r="J141" s="365">
        <f t="shared" si="8"/>
        <v>0</v>
      </c>
      <c r="K141" s="365">
        <f t="shared" si="8"/>
        <v>0</v>
      </c>
      <c r="L141" s="365">
        <f t="shared" si="8"/>
        <v>0</v>
      </c>
      <c r="M141" s="365">
        <f t="shared" si="8"/>
        <v>0</v>
      </c>
      <c r="N141" s="365">
        <f t="shared" si="8"/>
        <v>0</v>
      </c>
      <c r="O141" s="498">
        <f t="shared" si="0"/>
        <v>0</v>
      </c>
      <c r="P141" s="94"/>
      <c r="Q141" s="94"/>
    </row>
    <row r="142" ht="12" customHeight="1">
      <c r="B142" s="462" t="s">
        <v>415</v>
      </c>
      <c r="C142" s="499">
        <f t="shared" si="11" ref="C142:C156">+C141+N139</f>
        <v>0</v>
      </c>
      <c r="D142" s="499">
        <f t="shared" si="9"/>
        <v>0</v>
      </c>
      <c r="E142" s="499">
        <f t="shared" si="9"/>
        <v>0</v>
      </c>
      <c r="F142" s="499">
        <f t="shared" si="9"/>
        <v>0</v>
      </c>
      <c r="G142" s="499">
        <f t="shared" si="9"/>
        <v>0</v>
      </c>
      <c r="H142" s="499">
        <f t="shared" si="9"/>
        <v>0</v>
      </c>
      <c r="I142" s="499">
        <f t="shared" si="9"/>
        <v>0</v>
      </c>
      <c r="J142" s="499">
        <f t="shared" si="9"/>
        <v>0</v>
      </c>
      <c r="K142" s="499">
        <f t="shared" si="9"/>
        <v>0</v>
      </c>
      <c r="L142" s="499">
        <f t="shared" si="9"/>
        <v>0</v>
      </c>
      <c r="M142" s="499">
        <f t="shared" si="9"/>
        <v>0</v>
      </c>
      <c r="N142" s="499">
        <f t="shared" si="9"/>
        <v>0</v>
      </c>
      <c r="O142" s="365"/>
      <c r="P142" s="94"/>
      <c r="Q142" s="94"/>
    </row>
    <row r="143" ht="12" customHeight="1">
      <c r="B143" s="114" t="s">
        <v>311</v>
      </c>
      <c r="C143" s="343"/>
      <c r="D143" s="343"/>
      <c r="E143" s="343"/>
      <c r="F143" s="343"/>
      <c r="G143" s="343"/>
      <c r="H143" s="343"/>
      <c r="I143" s="343"/>
      <c r="J143" s="343"/>
      <c r="K143" s="343"/>
      <c r="L143" s="343"/>
      <c r="M143" s="343"/>
      <c r="N143" s="343"/>
      <c r="O143" s="365"/>
      <c r="P143" s="94"/>
      <c r="Q143" s="94"/>
    </row>
    <row r="144" ht="12" customHeight="1">
      <c r="B144" s="462" t="s">
        <v>414</v>
      </c>
      <c r="C144" s="365">
        <f t="shared" si="10"/>
        <v>0</v>
      </c>
      <c r="D144" s="365">
        <f t="shared" si="8"/>
        <v>0</v>
      </c>
      <c r="E144" s="365">
        <f t="shared" si="8"/>
        <v>0</v>
      </c>
      <c r="F144" s="365">
        <f t="shared" si="8"/>
        <v>0</v>
      </c>
      <c r="G144" s="365">
        <f t="shared" si="8"/>
        <v>0</v>
      </c>
      <c r="H144" s="365">
        <f t="shared" si="8"/>
        <v>0</v>
      </c>
      <c r="I144" s="365">
        <f t="shared" si="8"/>
        <v>0</v>
      </c>
      <c r="J144" s="365">
        <f t="shared" si="8"/>
        <v>0</v>
      </c>
      <c r="K144" s="365">
        <f t="shared" si="8"/>
        <v>0</v>
      </c>
      <c r="L144" s="365">
        <f t="shared" si="8"/>
        <v>0</v>
      </c>
      <c r="M144" s="365">
        <f t="shared" si="8"/>
        <v>0</v>
      </c>
      <c r="N144" s="365">
        <f t="shared" si="8"/>
        <v>0</v>
      </c>
      <c r="O144" s="498">
        <f t="shared" si="0"/>
        <v>0</v>
      </c>
      <c r="P144" s="94"/>
      <c r="Q144" s="94"/>
    </row>
    <row r="145" ht="12" customHeight="1">
      <c r="B145" s="462" t="s">
        <v>415</v>
      </c>
      <c r="C145" s="499">
        <f t="shared" si="11"/>
        <v>0</v>
      </c>
      <c r="D145" s="499">
        <f t="shared" si="9"/>
        <v>0</v>
      </c>
      <c r="E145" s="499">
        <f t="shared" si="9"/>
        <v>0</v>
      </c>
      <c r="F145" s="499">
        <f t="shared" si="9"/>
        <v>0</v>
      </c>
      <c r="G145" s="499">
        <f t="shared" si="9"/>
        <v>0</v>
      </c>
      <c r="H145" s="499">
        <f t="shared" si="9"/>
        <v>0</v>
      </c>
      <c r="I145" s="499">
        <f t="shared" si="9"/>
        <v>0</v>
      </c>
      <c r="J145" s="499">
        <f t="shared" si="9"/>
        <v>0</v>
      </c>
      <c r="K145" s="499">
        <f t="shared" si="9"/>
        <v>0</v>
      </c>
      <c r="L145" s="499">
        <f t="shared" si="9"/>
        <v>0</v>
      </c>
      <c r="M145" s="499">
        <f t="shared" si="9"/>
        <v>0</v>
      </c>
      <c r="N145" s="499">
        <f t="shared" si="9"/>
        <v>0</v>
      </c>
      <c r="O145" s="365"/>
      <c r="P145" s="94"/>
      <c r="Q145" s="94"/>
    </row>
    <row r="146" ht="12" customHeight="1">
      <c r="B146" s="94"/>
      <c r="C146" s="94"/>
      <c r="D146" s="94"/>
      <c r="E146" s="94"/>
      <c r="F146" s="94"/>
      <c r="G146" s="94"/>
      <c r="H146" s="94"/>
      <c r="I146" s="94"/>
      <c r="J146" s="94"/>
      <c r="K146" s="94"/>
      <c r="L146" s="94"/>
      <c r="M146" s="94"/>
      <c r="N146" s="94"/>
      <c r="O146" s="94"/>
      <c r="P146" s="94"/>
      <c r="Q146" s="94"/>
    </row>
    <row r="147" ht="14.25" customHeight="1">
      <c r="B147" s="96" t="s">
        <v>274</v>
      </c>
      <c r="C147" s="96" t="str">
        <f>'3a-SalesForecastYear1'!$C$16</f>
        <v>Month 1</v>
      </c>
      <c r="D147" s="96" t="str">
        <f>'3a-SalesForecastYear1'!$D$16</f>
        <v>Month 2</v>
      </c>
      <c r="E147" s="96" t="str">
        <f>'3a-SalesForecastYear1'!$E$16</f>
        <v>Month 3</v>
      </c>
      <c r="F147" s="96" t="str">
        <f>'3a-SalesForecastYear1'!$F$16</f>
        <v>Month 4</v>
      </c>
      <c r="G147" s="96" t="str">
        <f>'3a-SalesForecastYear1'!$G$16</f>
        <v>Month 5</v>
      </c>
      <c r="H147" s="96" t="str">
        <f>'3a-SalesForecastYear1'!$H$16</f>
        <v>Month 6</v>
      </c>
      <c r="I147" s="96" t="str">
        <f>'3a-SalesForecastYear1'!$I$16</f>
        <v>Month 7</v>
      </c>
      <c r="J147" s="96" t="str">
        <f>'3a-SalesForecastYear1'!$J$16</f>
        <v>Month 8</v>
      </c>
      <c r="K147" s="96" t="str">
        <f>'3a-SalesForecastYear1'!$K$16</f>
        <v>Month 9</v>
      </c>
      <c r="L147" s="96" t="str">
        <f>'3a-SalesForecastYear1'!$L$16</f>
        <v>Month 10</v>
      </c>
      <c r="M147" s="96" t="str">
        <f>'3a-SalesForecastYear1'!$M$16</f>
        <v>Month 11</v>
      </c>
      <c r="N147" s="96" t="str">
        <f>'3a-SalesForecastYear1'!$N$16</f>
        <v>Month 12</v>
      </c>
      <c r="O147" s="96" t="s">
        <v>52</v>
      </c>
      <c r="P147" s="94"/>
      <c r="Q147" s="94"/>
    </row>
    <row r="148" ht="12.75" customHeight="1">
      <c r="B148" s="301" t="s">
        <v>309</v>
      </c>
      <c r="C148" s="393"/>
      <c r="D148" s="393"/>
      <c r="E148" s="393"/>
      <c r="F148" s="393"/>
      <c r="G148" s="393"/>
      <c r="H148" s="393"/>
      <c r="I148" s="393"/>
      <c r="J148" s="393"/>
      <c r="K148" s="393"/>
      <c r="L148" s="393"/>
      <c r="M148" s="393"/>
      <c r="N148" s="393"/>
      <c r="O148" s="393"/>
      <c r="P148" s="94"/>
      <c r="Q148" s="94"/>
    </row>
    <row r="149" ht="12" customHeight="1">
      <c r="B149" s="462" t="s">
        <v>414</v>
      </c>
      <c r="C149" s="365">
        <f>+D135</f>
        <v>0</v>
      </c>
      <c r="D149" s="365">
        <f t="shared" si="12" ref="D149:N155">IF(C150&lt;$C$134,$D$135,0)</f>
        <v>0</v>
      </c>
      <c r="E149" s="365">
        <f t="shared" si="12"/>
        <v>0</v>
      </c>
      <c r="F149" s="365">
        <f t="shared" si="12"/>
        <v>0</v>
      </c>
      <c r="G149" s="365">
        <f t="shared" si="12"/>
        <v>0</v>
      </c>
      <c r="H149" s="365">
        <f t="shared" si="12"/>
        <v>0</v>
      </c>
      <c r="I149" s="365">
        <f t="shared" si="12"/>
        <v>0</v>
      </c>
      <c r="J149" s="365">
        <f t="shared" si="12"/>
        <v>0</v>
      </c>
      <c r="K149" s="365">
        <f t="shared" si="12"/>
        <v>0</v>
      </c>
      <c r="L149" s="365">
        <f t="shared" si="12"/>
        <v>0</v>
      </c>
      <c r="M149" s="365">
        <f t="shared" si="12"/>
        <v>0</v>
      </c>
      <c r="N149" s="365">
        <f t="shared" si="12"/>
        <v>0</v>
      </c>
      <c r="O149" s="498">
        <f t="shared" si="0"/>
        <v>0</v>
      </c>
      <c r="P149" s="94"/>
      <c r="Q149" s="94"/>
    </row>
    <row r="150" ht="12" customHeight="1">
      <c r="B150" s="462" t="s">
        <v>415</v>
      </c>
      <c r="C150" s="499">
        <f t="shared" si="13"/>
        <v>0</v>
      </c>
      <c r="D150" s="499">
        <f t="shared" si="9"/>
        <v>0</v>
      </c>
      <c r="E150" s="499">
        <f t="shared" si="9"/>
        <v>0</v>
      </c>
      <c r="F150" s="499">
        <f t="shared" si="9"/>
        <v>0</v>
      </c>
      <c r="G150" s="499">
        <f t="shared" si="9"/>
        <v>0</v>
      </c>
      <c r="H150" s="499">
        <f t="shared" si="9"/>
        <v>0</v>
      </c>
      <c r="I150" s="499">
        <f t="shared" si="9"/>
        <v>0</v>
      </c>
      <c r="J150" s="499">
        <f t="shared" si="9"/>
        <v>0</v>
      </c>
      <c r="K150" s="499">
        <f t="shared" si="9"/>
        <v>0</v>
      </c>
      <c r="L150" s="499">
        <f t="shared" si="9"/>
        <v>0</v>
      </c>
      <c r="M150" s="499">
        <f t="shared" si="9"/>
        <v>0</v>
      </c>
      <c r="N150" s="499">
        <f t="shared" si="9"/>
        <v>0</v>
      </c>
      <c r="O150" s="365"/>
      <c r="P150" s="94"/>
      <c r="Q150" s="94"/>
    </row>
    <row r="151" ht="12" customHeight="1">
      <c r="B151" s="114" t="s">
        <v>310</v>
      </c>
      <c r="C151" s="343"/>
      <c r="D151" s="343"/>
      <c r="E151" s="343"/>
      <c r="F151" s="343"/>
      <c r="G151" s="343"/>
      <c r="H151" s="343"/>
      <c r="I151" s="343"/>
      <c r="J151" s="343"/>
      <c r="K151" s="343"/>
      <c r="L151" s="343"/>
      <c r="M151" s="343"/>
      <c r="N151" s="343"/>
      <c r="O151" s="365"/>
      <c r="P151" s="94"/>
      <c r="Q151" s="94"/>
    </row>
    <row r="152" ht="12" customHeight="1">
      <c r="B152" s="462" t="s">
        <v>408</v>
      </c>
      <c r="C152" s="365">
        <f t="shared" si="14" ref="C152:C155">IF(N150&lt;$C$134,$D$135,0)</f>
        <v>0</v>
      </c>
      <c r="D152" s="365">
        <f t="shared" si="12"/>
        <v>0</v>
      </c>
      <c r="E152" s="365">
        <f t="shared" si="12"/>
        <v>0</v>
      </c>
      <c r="F152" s="365">
        <f t="shared" si="12"/>
        <v>0</v>
      </c>
      <c r="G152" s="365">
        <f t="shared" si="12"/>
        <v>0</v>
      </c>
      <c r="H152" s="365">
        <f t="shared" si="12"/>
        <v>0</v>
      </c>
      <c r="I152" s="365">
        <f t="shared" si="12"/>
        <v>0</v>
      </c>
      <c r="J152" s="365">
        <f t="shared" si="12"/>
        <v>0</v>
      </c>
      <c r="K152" s="365">
        <f t="shared" si="12"/>
        <v>0</v>
      </c>
      <c r="L152" s="365">
        <f t="shared" si="12"/>
        <v>0</v>
      </c>
      <c r="M152" s="365">
        <f t="shared" si="12"/>
        <v>0</v>
      </c>
      <c r="N152" s="365">
        <f t="shared" si="12"/>
        <v>0</v>
      </c>
      <c r="O152" s="498">
        <f t="shared" si="0"/>
        <v>0</v>
      </c>
      <c r="P152" s="94"/>
      <c r="Q152" s="94"/>
    </row>
    <row r="153" ht="12" customHeight="1">
      <c r="B153" s="462" t="s">
        <v>410</v>
      </c>
      <c r="C153" s="499">
        <f t="shared" si="11"/>
        <v>0</v>
      </c>
      <c r="D153" s="499">
        <f t="shared" si="9"/>
        <v>0</v>
      </c>
      <c r="E153" s="499">
        <f t="shared" si="9"/>
        <v>0</v>
      </c>
      <c r="F153" s="499">
        <f t="shared" si="9"/>
        <v>0</v>
      </c>
      <c r="G153" s="499">
        <f t="shared" si="9"/>
        <v>0</v>
      </c>
      <c r="H153" s="499">
        <f t="shared" si="9"/>
        <v>0</v>
      </c>
      <c r="I153" s="499">
        <f t="shared" si="9"/>
        <v>0</v>
      </c>
      <c r="J153" s="499">
        <f t="shared" si="9"/>
        <v>0</v>
      </c>
      <c r="K153" s="499">
        <f t="shared" si="9"/>
        <v>0</v>
      </c>
      <c r="L153" s="499">
        <f t="shared" si="9"/>
        <v>0</v>
      </c>
      <c r="M153" s="499">
        <f t="shared" si="9"/>
        <v>0</v>
      </c>
      <c r="N153" s="499">
        <f t="shared" si="9"/>
        <v>0</v>
      </c>
      <c r="O153" s="365"/>
      <c r="P153" s="94"/>
      <c r="Q153" s="94"/>
    </row>
    <row r="154" ht="12" customHeight="1">
      <c r="B154" s="114" t="s">
        <v>311</v>
      </c>
      <c r="C154" s="343"/>
      <c r="D154" s="343"/>
      <c r="E154" s="343"/>
      <c r="F154" s="343"/>
      <c r="G154" s="343"/>
      <c r="H154" s="343"/>
      <c r="I154" s="343"/>
      <c r="J154" s="343"/>
      <c r="K154" s="343"/>
      <c r="L154" s="343"/>
      <c r="M154" s="343"/>
      <c r="N154" s="343"/>
      <c r="O154" s="365"/>
      <c r="P154" s="94"/>
      <c r="Q154" s="94"/>
    </row>
    <row r="155" ht="12" customHeight="1">
      <c r="B155" s="462" t="s">
        <v>408</v>
      </c>
      <c r="C155" s="365">
        <f t="shared" si="14"/>
        <v>0</v>
      </c>
      <c r="D155" s="365">
        <f t="shared" si="12"/>
        <v>0</v>
      </c>
      <c r="E155" s="365">
        <f t="shared" si="12"/>
        <v>0</v>
      </c>
      <c r="F155" s="365">
        <f t="shared" si="12"/>
        <v>0</v>
      </c>
      <c r="G155" s="365">
        <f t="shared" si="12"/>
        <v>0</v>
      </c>
      <c r="H155" s="365">
        <f t="shared" si="12"/>
        <v>0</v>
      </c>
      <c r="I155" s="365">
        <f t="shared" si="12"/>
        <v>0</v>
      </c>
      <c r="J155" s="365">
        <f t="shared" si="12"/>
        <v>0</v>
      </c>
      <c r="K155" s="365">
        <f t="shared" si="12"/>
        <v>0</v>
      </c>
      <c r="L155" s="365">
        <f t="shared" si="12"/>
        <v>0</v>
      </c>
      <c r="M155" s="365">
        <f t="shared" si="12"/>
        <v>0</v>
      </c>
      <c r="N155" s="365">
        <f t="shared" si="12"/>
        <v>0</v>
      </c>
      <c r="O155" s="498">
        <f t="shared" si="0"/>
        <v>0</v>
      </c>
      <c r="P155" s="94"/>
      <c r="Q155" s="94"/>
    </row>
    <row r="156" ht="12" customHeight="1">
      <c r="B156" s="462" t="s">
        <v>411</v>
      </c>
      <c r="C156" s="499">
        <f t="shared" si="11"/>
        <v>0</v>
      </c>
      <c r="D156" s="499">
        <f t="shared" si="9"/>
        <v>0</v>
      </c>
      <c r="E156" s="499">
        <f t="shared" si="9"/>
        <v>0</v>
      </c>
      <c r="F156" s="499">
        <f t="shared" si="9"/>
        <v>0</v>
      </c>
      <c r="G156" s="499">
        <f t="shared" si="9"/>
        <v>0</v>
      </c>
      <c r="H156" s="499">
        <f t="shared" si="9"/>
        <v>0</v>
      </c>
      <c r="I156" s="499">
        <f t="shared" si="9"/>
        <v>0</v>
      </c>
      <c r="J156" s="499">
        <f t="shared" si="9"/>
        <v>0</v>
      </c>
      <c r="K156" s="499">
        <f t="shared" si="9"/>
        <v>0</v>
      </c>
      <c r="L156" s="499">
        <f t="shared" si="9"/>
        <v>0</v>
      </c>
      <c r="M156" s="499">
        <f t="shared" si="9"/>
        <v>0</v>
      </c>
      <c r="N156" s="499">
        <f t="shared" si="9"/>
        <v>0</v>
      </c>
      <c r="O156" s="365"/>
      <c r="P156" s="94"/>
      <c r="Q156" s="94"/>
    </row>
    <row r="157" ht="12" customHeight="1">
      <c r="B157" s="94"/>
      <c r="C157" s="94"/>
      <c r="D157" s="94"/>
      <c r="E157" s="94"/>
      <c r="F157" s="94"/>
      <c r="G157" s="94"/>
      <c r="H157" s="94"/>
      <c r="I157" s="94"/>
      <c r="J157" s="94"/>
      <c r="K157" s="94"/>
      <c r="L157" s="94"/>
      <c r="M157" s="94"/>
      <c r="N157" s="94"/>
      <c r="O157" s="94"/>
      <c r="P157" s="94"/>
      <c r="Q157" s="94"/>
    </row>
    <row r="158" ht="12" customHeight="1">
      <c r="B158" s="94"/>
      <c r="C158" s="94"/>
      <c r="D158" s="94"/>
      <c r="E158" s="94"/>
      <c r="F158" s="94"/>
      <c r="G158" s="94"/>
      <c r="H158" s="94"/>
      <c r="I158" s="94"/>
      <c r="J158" s="94"/>
      <c r="K158" s="94"/>
      <c r="L158" s="94"/>
      <c r="M158" s="94"/>
      <c r="N158" s="94"/>
      <c r="O158" s="94"/>
      <c r="P158" s="94"/>
      <c r="Q158" s="94"/>
    </row>
    <row r="159" ht="12" customHeight="1">
      <c r="B159" s="94"/>
      <c r="C159" s="94"/>
      <c r="D159" s="94"/>
      <c r="E159" s="94"/>
      <c r="F159" s="94"/>
      <c r="G159" s="94"/>
      <c r="H159" s="94"/>
      <c r="I159" s="94"/>
      <c r="J159" s="94"/>
      <c r="K159" s="94"/>
      <c r="L159" s="94"/>
      <c r="M159" s="94"/>
      <c r="N159" s="94"/>
      <c r="O159" s="94"/>
      <c r="P159" s="94"/>
      <c r="Q159" s="94"/>
    </row>
  </sheetData>
  <sheetProtection formatColumns="0" formatRows="0"/>
  <mergeCells>
    <mergeCell ref="B2:E2"/>
    <mergeCell ref="B108:C108"/>
    <mergeCell ref="E4:G6"/>
    <mergeCell ref="B68:C68"/>
    <mergeCell ref="B88:C88"/>
    <mergeCell ref="B8:C8"/>
    <mergeCell ref="B28:C28"/>
    <mergeCell ref="B48:C48"/>
  </mergeCells>
  <hyperlinks>
    <hyperlink ref="E4:G6" location="'1-StartingPoint'!A1" display="Return to Starting Point"/>
  </hyperlinks>
  <printOptions/>
  <pageMargins left="0.25" right="0.25" top="0.75" bottom="0.75" header="0.3" footer="0.3"/>
  <pageSetup paperSize="1" scale="71" pageOrder="downThenOver" orientation="landscape"/>
  <headerFooter scaleWithDoc="0">
    <oddHeader>&amp;L&amp;C&amp;"Gill Sans MT,Regular"&amp;12Amortization and Depreciation Schedule&amp;R</oddHeader>
  </headerFooter>
  <rowBreaks count="3" manualBreakCount="3">
    <brk id="46" man="1" max="1048576"/>
    <brk id="86" man="1" max="1048576"/>
    <brk id="129" man="1" max="1048576"/>
  </rowBreaks>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95</vt:i4>
      </vt:variant>
    </vt:vector>
  </HeadingPairs>
  <TitlesOfParts>
    <vt:vector size="114" baseType="lpstr">
      <vt:lpstr>Directions</vt:lpstr>
      <vt:lpstr>1-StartingPoint</vt:lpstr>
      <vt:lpstr>2a-PayrollYear1</vt:lpstr>
      <vt:lpstr>2b-PayrollYrs1-3</vt:lpstr>
      <vt:lpstr>3a-SalesForecastYear1</vt:lpstr>
      <vt:lpstr>3b-SalesForecastYrs1-3</vt:lpstr>
      <vt:lpstr>4-AdditionalInputs</vt:lpstr>
      <vt:lpstr>5a-OpExYear1</vt:lpstr>
      <vt:lpstr>5b-OpExYrs1-3</vt:lpstr>
      <vt:lpstr>6a-CashFlowYear1</vt:lpstr>
      <vt:lpstr>6b-CashFlowYrs1-3</vt:lpstr>
      <vt:lpstr>7a-IncomeStatementYear1</vt:lpstr>
      <vt:lpstr>7b-IncomeStatementYrs1-3</vt:lpstr>
      <vt:lpstr>8-BalanceSheet</vt:lpstr>
      <vt:lpstr>BreakevenAnalysis</vt:lpstr>
      <vt:lpstr>FinancialRatios</vt:lpstr>
      <vt:lpstr>DiagnosticTools</vt:lpstr>
      <vt:lpstr>COGS Calculator</vt:lpstr>
      <vt:lpstr>Amortization&amp;amp;Depreciation</vt:lpstr>
      <vt:lpstr>AddLoans</vt:lpstr>
      <vt:lpstr>Advertising</vt:lpstr>
      <vt:lpstr>Buildings</vt:lpstr>
      <vt:lpstr>Category1</vt:lpstr>
      <vt:lpstr>Category1_Annual_Sales</vt:lpstr>
      <vt:lpstr>Category2</vt:lpstr>
      <vt:lpstr>Category2_Annual_Sales</vt:lpstr>
      <vt:lpstr>Category3</vt:lpstr>
      <vt:lpstr>Category3_Annual_Sales</vt:lpstr>
      <vt:lpstr>Category4</vt:lpstr>
      <vt:lpstr>Category4_Annual_Sales</vt:lpstr>
      <vt:lpstr>Category5</vt:lpstr>
      <vt:lpstr>Category5_Annual_Sales</vt:lpstr>
      <vt:lpstr>Category6</vt:lpstr>
      <vt:lpstr>Category6_Annual_Sales</vt:lpstr>
      <vt:lpstr>Catergory6</vt:lpstr>
      <vt:lpstr>CCDebt</vt:lpstr>
      <vt:lpstr>COGS_Annual_Total</vt:lpstr>
      <vt:lpstr>CommLoan</vt:lpstr>
      <vt:lpstr>CommMortgage</vt:lpstr>
      <vt:lpstr>Equipment</vt:lpstr>
      <vt:lpstr>Furniture</vt:lpstr>
      <vt:lpstr>Growth_Rate_Yr2</vt:lpstr>
      <vt:lpstr>Growth_Rate_Yr3</vt:lpstr>
      <vt:lpstr>'3a-SalesForecastYear1'!Hours</vt:lpstr>
      <vt:lpstr>Inventory</vt:lpstr>
      <vt:lpstr>Land</vt:lpstr>
      <vt:lpstr>LeaseImprovements</vt:lpstr>
      <vt:lpstr>LegalAcctFees</vt:lpstr>
      <vt:lpstr>Licenses</vt:lpstr>
      <vt:lpstr>Margin_Annual_Total</vt:lpstr>
      <vt:lpstr>Misc_Expenses</vt:lpstr>
      <vt:lpstr>NetIncomeY1</vt:lpstr>
      <vt:lpstr>NetIncomeY2</vt:lpstr>
      <vt:lpstr>NetIncomeY3</vt:lpstr>
      <vt:lpstr>OfficeSupplies_Expenses</vt:lpstr>
      <vt:lpstr>Other_Expenses</vt:lpstr>
      <vt:lpstr>OtherBankDebt</vt:lpstr>
      <vt:lpstr>OtherFixedAssets</vt:lpstr>
      <vt:lpstr>OtherStartUp</vt:lpstr>
      <vt:lpstr>OutsideInvest</vt:lpstr>
      <vt:lpstr>OwnerEquity</vt:lpstr>
      <vt:lpstr>PreOpenWages</vt:lpstr>
      <vt:lpstr>PrepaidInsurance</vt:lpstr>
      <vt:lpstr>'1-StartingPoint'!Print_Area</vt:lpstr>
      <vt:lpstr>'2a-PayrollYear1'!Print_Area</vt:lpstr>
      <vt:lpstr>'2b-PayrollYrs1-3'!Print_Area</vt:lpstr>
      <vt:lpstr>'3a-SalesForecastYear1'!Print_Area</vt:lpstr>
      <vt:lpstr>'3b-SalesForecastYrs1-3'!Print_Area</vt:lpstr>
      <vt:lpstr>'4-AdditionalInputs'!Print_Area</vt:lpstr>
      <vt:lpstr>'5a-OpExYear1'!Print_Area</vt:lpstr>
      <vt:lpstr>'5b-OpExYrs1-3'!Print_Area</vt:lpstr>
      <vt:lpstr>'6a-CashFlowYear1'!Print_Area</vt:lpstr>
      <vt:lpstr>'6b-CashFlowYrs1-3'!Print_Area</vt:lpstr>
      <vt:lpstr>'7a-IncomeStatementYear1'!Print_Area</vt:lpstr>
      <vt:lpstr>'7b-IncomeStatementYrs1-3'!Print_Area</vt:lpstr>
      <vt:lpstr>'8-BalanceSheet'!Print_Area</vt:lpstr>
      <vt:lpstr>'Amortization&amp;amp;Depreciation'!Print_Area</vt:lpstr>
      <vt:lpstr>BreakevenAnalysis!Print_Area</vt:lpstr>
      <vt:lpstr>'COGS Calculator'!Print_Area</vt:lpstr>
      <vt:lpstr>DiagnosticTools!Print_Area</vt:lpstr>
      <vt:lpstr>Directions!Print_Area</vt:lpstr>
      <vt:lpstr>FinancialRatios!Print_Area</vt:lpstr>
      <vt:lpstr>'3b-SalesForecastYrs1-3'!Print_Titles</vt:lpstr>
      <vt:lpstr>'6b-CashFlowYrs1-3'!Print_Titles</vt:lpstr>
      <vt:lpstr>RentDeposit</vt:lpstr>
      <vt:lpstr>Sales_Annual_Total</vt:lpstr>
      <vt:lpstr>Supplies</vt:lpstr>
      <vt:lpstr>Total_Fixed_Assets</vt:lpstr>
      <vt:lpstr>TotalFixedAssets</vt:lpstr>
      <vt:lpstr>TotalFunding</vt:lpstr>
      <vt:lpstr>TotalOperatingCapital</vt:lpstr>
      <vt:lpstr>TotalRequiredFunds</vt:lpstr>
      <vt:lpstr>Unit1</vt:lpstr>
      <vt:lpstr>Unit1_Annual</vt:lpstr>
      <vt:lpstr>Unit1_Annual_Sales</vt:lpstr>
      <vt:lpstr>Unit2</vt:lpstr>
      <vt:lpstr>Unit2_Annual</vt:lpstr>
      <vt:lpstr>Unit2_Annual_Sales</vt:lpstr>
      <vt:lpstr>Unit3</vt:lpstr>
      <vt:lpstr>Unit3_Annual</vt:lpstr>
      <vt:lpstr>Unit3_Annual_Sales</vt:lpstr>
      <vt:lpstr>Unit4</vt:lpstr>
      <vt:lpstr>Unit4_Annual</vt:lpstr>
      <vt:lpstr>Unit5</vt:lpstr>
      <vt:lpstr>Unit5_Annual</vt:lpstr>
      <vt:lpstr>Unit6</vt:lpstr>
      <vt:lpstr>Unit6_Annual</vt:lpstr>
      <vt:lpstr>Units_Annual_Total</vt:lpstr>
      <vt:lpstr>UtilityDeposit</vt:lpstr>
      <vt:lpstr>VehicleLoan</vt:lpstr>
      <vt:lpstr>Vehicles</vt:lpstr>
      <vt:lpstr>Working_Capital</vt:lpstr>
      <vt:lpstr>WorkingCapital</vt:lpstr>
      <vt:lpstr>Y1EndingCashBal</vt:lpstr>
    </vt:vector>
  </TitlesOfParts>
  <LinksUpToDate>false</LinksUpToDate>
  <SharedDoc>false</SharedDoc>
  <HyperlinksChanged>false</HyperlinksChanged>
  <AppVersion>16.0300</AppVersion>
  <Company>Shortcut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Steps for Starting Your Business</dc:title>
  <dc:subject>Business start-up financial forecast</dc:subject>
  <dc:creator>Shortcut</dc:creator>
  <cp:keywords>business, start-up, financial, forecast</cp:keywords>
  <dc:description>This SCORE Workbook is designed to help start-up companies make financial projections that will allow them to make a "go-no go" decision about starting a new company.</dc:description>
  <cp:lastModifiedBy>Shortcut</cp:lastModifiedBy>
  <cp:lastPrinted>2013-01-14T15:22:16Z</cp:lastPrinted>
  <dcterms:created xsi:type="dcterms:W3CDTF">2011-04-16T18:04:50Z</dcterms:created>
  <dcterms:modified xsi:type="dcterms:W3CDTF">2025-01-17T20:05:08Z</dcterms:modified>
</cp:coreProperties>
</file>